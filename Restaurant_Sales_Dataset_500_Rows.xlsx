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lwa\Downloads\"/>
    </mc:Choice>
  </mc:AlternateContent>
  <xr:revisionPtr revIDLastSave="0" documentId="13_ncr:1_{5DE6B698-CA3E-424F-8577-6F10670FC8E0}" xr6:coauthVersionLast="47" xr6:coauthVersionMax="47" xr10:uidLastSave="{00000000-0000-0000-0000-000000000000}"/>
  <bookViews>
    <workbookView xWindow="-108" yWindow="-108" windowWidth="23256" windowHeight="12456" activeTab="2" xr2:uid="{00000000-000D-0000-FFFF-FFFF00000000}"/>
  </bookViews>
  <sheets>
    <sheet name="Restaurant Sales" sheetId="1" r:id="rId1"/>
    <sheet name="Pivot tables" sheetId="3" r:id="rId2"/>
    <sheet name="Dashboard" sheetId="6" r:id="rId3"/>
    <sheet name="insight" sheetId="7" r:id="rId4"/>
  </sheets>
  <definedNames>
    <definedName name="_xlnm._FilterDatabase" localSheetId="0" hidden="1">'Restaurant Sales'!$A$1:$N$501</definedName>
    <definedName name="Slicer_Item_Name">#N/A</definedName>
    <definedName name="Slicer_Payment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1" l="1" a="1"/>
  <c r="Q4" i="1" a="1"/>
  <c r="Q10" i="1"/>
  <c r="Q7" i="1"/>
  <c r="Q13"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2" i="1"/>
  <c r="Q1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<sst xmlns="http://schemas.openxmlformats.org/spreadsheetml/2006/main" count="3577" uniqueCount="940">
  <si>
    <t>Order_ID</t>
  </si>
  <si>
    <t>Date</t>
  </si>
  <si>
    <t>Customer_Name</t>
  </si>
  <si>
    <t>City</t>
  </si>
  <si>
    <t>Item_Name</t>
  </si>
  <si>
    <t>Category</t>
  </si>
  <si>
    <t>Quantity</t>
  </si>
  <si>
    <t>Unit_Price</t>
  </si>
  <si>
    <t>Discount</t>
  </si>
  <si>
    <t>Amount</t>
  </si>
  <si>
    <t>Payment_Mode</t>
  </si>
  <si>
    <t>Order_Type</t>
  </si>
  <si>
    <t>Profit</t>
  </si>
  <si>
    <t>ORD0001</t>
  </si>
  <si>
    <t>Vikram 23</t>
  </si>
  <si>
    <t>Hyderabad</t>
  </si>
  <si>
    <t>Cake</t>
  </si>
  <si>
    <t>Food</t>
  </si>
  <si>
    <t>UPI</t>
  </si>
  <si>
    <t>Dine-in</t>
  </si>
  <si>
    <t>ORD0002</t>
  </si>
  <si>
    <t>Karan 90</t>
  </si>
  <si>
    <t>Delhi</t>
  </si>
  <si>
    <t>Pasta</t>
  </si>
  <si>
    <t>Wallet</t>
  </si>
  <si>
    <t>ORD0003</t>
  </si>
  <si>
    <t>Ananya 32</t>
  </si>
  <si>
    <t>Pune</t>
  </si>
  <si>
    <t>Momos</t>
  </si>
  <si>
    <t>Card</t>
  </si>
  <si>
    <t>Delivery</t>
  </si>
  <si>
    <t>ORD0004</t>
  </si>
  <si>
    <t>Aarav 92</t>
  </si>
  <si>
    <t>Pizza</t>
  </si>
  <si>
    <t>ORD0005</t>
  </si>
  <si>
    <t>Priya 65</t>
  </si>
  <si>
    <t>Juice</t>
  </si>
  <si>
    <t>Cash</t>
  </si>
  <si>
    <t>ORD0006</t>
  </si>
  <si>
    <t>Sneha 53</t>
  </si>
  <si>
    <t>Bangalore</t>
  </si>
  <si>
    <t>Biryani</t>
  </si>
  <si>
    <t>ORD0007</t>
  </si>
  <si>
    <t>Sneha 68</t>
  </si>
  <si>
    <t>ORD0008</t>
  </si>
  <si>
    <t>Aarav 78</t>
  </si>
  <si>
    <t>ORD0009</t>
  </si>
  <si>
    <t>Vikram 69</t>
  </si>
  <si>
    <t>Sandwich</t>
  </si>
  <si>
    <t>ORD0010</t>
  </si>
  <si>
    <t>Karan 63</t>
  </si>
  <si>
    <t>ORD0011</t>
  </si>
  <si>
    <t>Karan 84</t>
  </si>
  <si>
    <t>Noodles</t>
  </si>
  <si>
    <t>Takeaway</t>
  </si>
  <si>
    <t>ORD0012</t>
  </si>
  <si>
    <t>Riya 39</t>
  </si>
  <si>
    <t>ORD0013</t>
  </si>
  <si>
    <t>Ananya 38</t>
  </si>
  <si>
    <t>ORD0014</t>
  </si>
  <si>
    <t>Sneha 69</t>
  </si>
  <si>
    <t>ORD0015</t>
  </si>
  <si>
    <t>Riya 28</t>
  </si>
  <si>
    <t>ORD0016</t>
  </si>
  <si>
    <t>Priya 67</t>
  </si>
  <si>
    <t>ORD0017</t>
  </si>
  <si>
    <t>Aarav 16</t>
  </si>
  <si>
    <t>Salad</t>
  </si>
  <si>
    <t>ORD0018</t>
  </si>
  <si>
    <t>Riya 5</t>
  </si>
  <si>
    <t>Mumbai</t>
  </si>
  <si>
    <t>Burger</t>
  </si>
  <si>
    <t>ORD0019</t>
  </si>
  <si>
    <t>Vikram 87</t>
  </si>
  <si>
    <t>Coffee</t>
  </si>
  <si>
    <t>ORD0020</t>
  </si>
  <si>
    <t>Aarav 97</t>
  </si>
  <si>
    <t>ORD0021</t>
  </si>
  <si>
    <t>Sneha 77</t>
  </si>
  <si>
    <t>ORD0022</t>
  </si>
  <si>
    <t>Aarav 58</t>
  </si>
  <si>
    <t>ORD0023</t>
  </si>
  <si>
    <t>Aarav 80</t>
  </si>
  <si>
    <t>ORD0024</t>
  </si>
  <si>
    <t>Riya 80</t>
  </si>
  <si>
    <t>ORD0025</t>
  </si>
  <si>
    <t>Priya 62</t>
  </si>
  <si>
    <t>ORD0026</t>
  </si>
  <si>
    <t>Riya 9</t>
  </si>
  <si>
    <t>ORD0027</t>
  </si>
  <si>
    <t>Aarav 65</t>
  </si>
  <si>
    <t>ORD0028</t>
  </si>
  <si>
    <t>Aarav 85</t>
  </si>
  <si>
    <t>ORD0029</t>
  </si>
  <si>
    <t>Karan 92</t>
  </si>
  <si>
    <t>ORD0030</t>
  </si>
  <si>
    <t>Sneha 89</t>
  </si>
  <si>
    <t>ORD0031</t>
  </si>
  <si>
    <t>Vikram 80</t>
  </si>
  <si>
    <t>ORD0032</t>
  </si>
  <si>
    <t>Rahul 48</t>
  </si>
  <si>
    <t>ORD0033</t>
  </si>
  <si>
    <t>Ananya 86</t>
  </si>
  <si>
    <t>ORD0034</t>
  </si>
  <si>
    <t>Sneha 57</t>
  </si>
  <si>
    <t>ORD0035</t>
  </si>
  <si>
    <t>Rahul 51</t>
  </si>
  <si>
    <t>ORD0036</t>
  </si>
  <si>
    <t>Priya 1</t>
  </si>
  <si>
    <t>ORD0037</t>
  </si>
  <si>
    <t>Riya 69</t>
  </si>
  <si>
    <t>ORD0038</t>
  </si>
  <si>
    <t>Sneha 52</t>
  </si>
  <si>
    <t>ORD0039</t>
  </si>
  <si>
    <t>Ananya 22</t>
  </si>
  <si>
    <t>ORD0040</t>
  </si>
  <si>
    <t>Rahul 33</t>
  </si>
  <si>
    <t>ORD0041</t>
  </si>
  <si>
    <t>Priya 31</t>
  </si>
  <si>
    <t>ORD0042</t>
  </si>
  <si>
    <t>Sneha 75</t>
  </si>
  <si>
    <t>ORD0043</t>
  </si>
  <si>
    <t>Priya 68</t>
  </si>
  <si>
    <t>ORD0044</t>
  </si>
  <si>
    <t>Aarav 8</t>
  </si>
  <si>
    <t>ORD0045</t>
  </si>
  <si>
    <t>Rahul 81</t>
  </si>
  <si>
    <t>ORD0046</t>
  </si>
  <si>
    <t>Vikram 18</t>
  </si>
  <si>
    <t>ORD0047</t>
  </si>
  <si>
    <t>Aarav 70</t>
  </si>
  <si>
    <t>ORD0048</t>
  </si>
  <si>
    <t>Sneha 62</t>
  </si>
  <si>
    <t>ORD0049</t>
  </si>
  <si>
    <t>Priya 40</t>
  </si>
  <si>
    <t>ORD0050</t>
  </si>
  <si>
    <t>Sneha 23</t>
  </si>
  <si>
    <t>ORD0051</t>
  </si>
  <si>
    <t>Sneha 37</t>
  </si>
  <si>
    <t>ORD0052</t>
  </si>
  <si>
    <t>Ananya 11</t>
  </si>
  <si>
    <t>ORD0053</t>
  </si>
  <si>
    <t>Sneha 58</t>
  </si>
  <si>
    <t>ORD0054</t>
  </si>
  <si>
    <t>Aarav 35</t>
  </si>
  <si>
    <t>ORD0055</t>
  </si>
  <si>
    <t>Riya 43</t>
  </si>
  <si>
    <t>ORD0056</t>
  </si>
  <si>
    <t>Aarav 56</t>
  </si>
  <si>
    <t>ORD0057</t>
  </si>
  <si>
    <t>Vikram 99</t>
  </si>
  <si>
    <t>ORD0058</t>
  </si>
  <si>
    <t>Aarav 13</t>
  </si>
  <si>
    <t>ORD0059</t>
  </si>
  <si>
    <t>Rahul 12</t>
  </si>
  <si>
    <t>ORD0060</t>
  </si>
  <si>
    <t>Rahul 65</t>
  </si>
  <si>
    <t>ORD0061</t>
  </si>
  <si>
    <t>Rahul 92</t>
  </si>
  <si>
    <t>ORD0062</t>
  </si>
  <si>
    <t>Riya 72</t>
  </si>
  <si>
    <t>ORD0063</t>
  </si>
  <si>
    <t>Riya 8</t>
  </si>
  <si>
    <t>ORD0064</t>
  </si>
  <si>
    <t>Rahul 24</t>
  </si>
  <si>
    <t>ORD0065</t>
  </si>
  <si>
    <t>Karan 86</t>
  </si>
  <si>
    <t>ORD0066</t>
  </si>
  <si>
    <t>Aarav 72</t>
  </si>
  <si>
    <t>ORD0067</t>
  </si>
  <si>
    <t>Ananya 44</t>
  </si>
  <si>
    <t>ORD0068</t>
  </si>
  <si>
    <t>Ananya 95</t>
  </si>
  <si>
    <t>ORD0069</t>
  </si>
  <si>
    <t>Riya 92</t>
  </si>
  <si>
    <t>ORD0070</t>
  </si>
  <si>
    <t>Karan 34</t>
  </si>
  <si>
    <t>ORD0071</t>
  </si>
  <si>
    <t>Riya 10</t>
  </si>
  <si>
    <t>ORD0072</t>
  </si>
  <si>
    <t>Ananya 40</t>
  </si>
  <si>
    <t>ORD0073</t>
  </si>
  <si>
    <t>Ananya 8</t>
  </si>
  <si>
    <t>ORD0074</t>
  </si>
  <si>
    <t>Vikram 45</t>
  </si>
  <si>
    <t>ORD0075</t>
  </si>
  <si>
    <t>Karan 98</t>
  </si>
  <si>
    <t>ORD0076</t>
  </si>
  <si>
    <t>Ananya 93</t>
  </si>
  <si>
    <t>ORD0077</t>
  </si>
  <si>
    <t>Riya 15</t>
  </si>
  <si>
    <t>ORD0078</t>
  </si>
  <si>
    <t>Ananya 99</t>
  </si>
  <si>
    <t>ORD0079</t>
  </si>
  <si>
    <t>Sneha 2</t>
  </si>
  <si>
    <t>ORD0080</t>
  </si>
  <si>
    <t>Priya 48</t>
  </si>
  <si>
    <t>ORD0081</t>
  </si>
  <si>
    <t>Riya 96</t>
  </si>
  <si>
    <t>ORD0082</t>
  </si>
  <si>
    <t>Rahul 90</t>
  </si>
  <si>
    <t>ORD0083</t>
  </si>
  <si>
    <t>Rahul 67</t>
  </si>
  <si>
    <t>ORD0084</t>
  </si>
  <si>
    <t>Riya 4</t>
  </si>
  <si>
    <t>ORD0085</t>
  </si>
  <si>
    <t>Rahul 99</t>
  </si>
  <si>
    <t>ORD0086</t>
  </si>
  <si>
    <t>ORD0087</t>
  </si>
  <si>
    <t>Rahul 11</t>
  </si>
  <si>
    <t>ORD0088</t>
  </si>
  <si>
    <t>Riya 99</t>
  </si>
  <si>
    <t>ORD0089</t>
  </si>
  <si>
    <t>Riya 23</t>
  </si>
  <si>
    <t>ORD0090</t>
  </si>
  <si>
    <t>Rahul 14</t>
  </si>
  <si>
    <t>ORD0091</t>
  </si>
  <si>
    <t>Aarav 27</t>
  </si>
  <si>
    <t>ORD0092</t>
  </si>
  <si>
    <t>Karan 22</t>
  </si>
  <si>
    <t>ORD0093</t>
  </si>
  <si>
    <t>Ananya 39</t>
  </si>
  <si>
    <t>ORD0094</t>
  </si>
  <si>
    <t>Aarav 40</t>
  </si>
  <si>
    <t>ORD0095</t>
  </si>
  <si>
    <t>Priya 83</t>
  </si>
  <si>
    <t>ORD0096</t>
  </si>
  <si>
    <t>Riya 53</t>
  </si>
  <si>
    <t>ORD0097</t>
  </si>
  <si>
    <t>Riya 48</t>
  </si>
  <si>
    <t>ORD0098</t>
  </si>
  <si>
    <t>Vikram 39</t>
  </si>
  <si>
    <t>ORD0099</t>
  </si>
  <si>
    <t>Rahul 76</t>
  </si>
  <si>
    <t>ORD0100</t>
  </si>
  <si>
    <t>ORD0101</t>
  </si>
  <si>
    <t>Priya 17</t>
  </si>
  <si>
    <t>ORD0102</t>
  </si>
  <si>
    <t>Ananya 36</t>
  </si>
  <si>
    <t>ORD0103</t>
  </si>
  <si>
    <t>ORD0104</t>
  </si>
  <si>
    <t>Karan 52</t>
  </si>
  <si>
    <t>ORD0105</t>
  </si>
  <si>
    <t>Karan 70</t>
  </si>
  <si>
    <t>ORD0106</t>
  </si>
  <si>
    <t>ORD0107</t>
  </si>
  <si>
    <t>Rahul 68</t>
  </si>
  <si>
    <t>ORD0108</t>
  </si>
  <si>
    <t>Karan 79</t>
  </si>
  <si>
    <t>ORD0109</t>
  </si>
  <si>
    <t>Ananya 68</t>
  </si>
  <si>
    <t>ORD0110</t>
  </si>
  <si>
    <t>Vikram 97</t>
  </si>
  <si>
    <t>ORD0111</t>
  </si>
  <si>
    <t>Aarav 22</t>
  </si>
  <si>
    <t>ORD0112</t>
  </si>
  <si>
    <t>Vikram 78</t>
  </si>
  <si>
    <t>ORD0113</t>
  </si>
  <si>
    <t>Karan 31</t>
  </si>
  <si>
    <t>ORD0114</t>
  </si>
  <si>
    <t>Aarav 52</t>
  </si>
  <si>
    <t>ORD0115</t>
  </si>
  <si>
    <t>Priya 86</t>
  </si>
  <si>
    <t>ORD0116</t>
  </si>
  <si>
    <t>Sneha 85</t>
  </si>
  <si>
    <t>ORD0117</t>
  </si>
  <si>
    <t>Aarav 57</t>
  </si>
  <si>
    <t>ORD0118</t>
  </si>
  <si>
    <t>Riya 87</t>
  </si>
  <si>
    <t>ORD0119</t>
  </si>
  <si>
    <t>Aarav 96</t>
  </si>
  <si>
    <t>ORD0120</t>
  </si>
  <si>
    <t>Rahul 20</t>
  </si>
  <si>
    <t>ORD0121</t>
  </si>
  <si>
    <t>Ananya 71</t>
  </si>
  <si>
    <t>ORD0122</t>
  </si>
  <si>
    <t>Priya 73</t>
  </si>
  <si>
    <t>ORD0123</t>
  </si>
  <si>
    <t>Sneha 56</t>
  </si>
  <si>
    <t>ORD0124</t>
  </si>
  <si>
    <t>Ananya 54</t>
  </si>
  <si>
    <t>ORD0125</t>
  </si>
  <si>
    <t>Karan 16</t>
  </si>
  <si>
    <t>ORD0126</t>
  </si>
  <si>
    <t>Rahul 89</t>
  </si>
  <si>
    <t>ORD0127</t>
  </si>
  <si>
    <t>Karan 25</t>
  </si>
  <si>
    <t>ORD0128</t>
  </si>
  <si>
    <t>Rahul 70</t>
  </si>
  <si>
    <t>ORD0129</t>
  </si>
  <si>
    <t>Riya 83</t>
  </si>
  <si>
    <t>ORD0130</t>
  </si>
  <si>
    <t>Riya 33</t>
  </si>
  <si>
    <t>ORD0131</t>
  </si>
  <si>
    <t>Rahul 7</t>
  </si>
  <si>
    <t>ORD0132</t>
  </si>
  <si>
    <t>Priya 32</t>
  </si>
  <si>
    <t>ORD0133</t>
  </si>
  <si>
    <t>Riya 41</t>
  </si>
  <si>
    <t>ORD0134</t>
  </si>
  <si>
    <t>Vikram 52</t>
  </si>
  <si>
    <t>ORD0135</t>
  </si>
  <si>
    <t>Vikram 94</t>
  </si>
  <si>
    <t>ORD0136</t>
  </si>
  <si>
    <t>Vikram 14</t>
  </si>
  <si>
    <t>ORD0137</t>
  </si>
  <si>
    <t>Vikram 79</t>
  </si>
  <si>
    <t>ORD0138</t>
  </si>
  <si>
    <t>Karan 99</t>
  </si>
  <si>
    <t>ORD0139</t>
  </si>
  <si>
    <t>Ananya 73</t>
  </si>
  <si>
    <t>ORD0140</t>
  </si>
  <si>
    <t>Priya 19</t>
  </si>
  <si>
    <t>ORD0141</t>
  </si>
  <si>
    <t>Rahul 28</t>
  </si>
  <si>
    <t>ORD0142</t>
  </si>
  <si>
    <t>Karan 80</t>
  </si>
  <si>
    <t>ORD0143</t>
  </si>
  <si>
    <t>Karan 18</t>
  </si>
  <si>
    <t>ORD0144</t>
  </si>
  <si>
    <t>Rahul 22</t>
  </si>
  <si>
    <t>ORD0145</t>
  </si>
  <si>
    <t>Priya 43</t>
  </si>
  <si>
    <t>ORD0146</t>
  </si>
  <si>
    <t>Karan 47</t>
  </si>
  <si>
    <t>ORD0147</t>
  </si>
  <si>
    <t>Vikram 6</t>
  </si>
  <si>
    <t>ORD0148</t>
  </si>
  <si>
    <t>Karan 13</t>
  </si>
  <si>
    <t>ORD0149</t>
  </si>
  <si>
    <t>Riya 68</t>
  </si>
  <si>
    <t>ORD0150</t>
  </si>
  <si>
    <t>Priya 63</t>
  </si>
  <si>
    <t>ORD0151</t>
  </si>
  <si>
    <t>Ananya 20</t>
  </si>
  <si>
    <t>ORD0152</t>
  </si>
  <si>
    <t>ORD0153</t>
  </si>
  <si>
    <t>ORD0154</t>
  </si>
  <si>
    <t>Sneha 28</t>
  </si>
  <si>
    <t>ORD0155</t>
  </si>
  <si>
    <t>Rahul 45</t>
  </si>
  <si>
    <t>ORD0156</t>
  </si>
  <si>
    <t>ORD0157</t>
  </si>
  <si>
    <t>Priya 66</t>
  </si>
  <si>
    <t>ORD0158</t>
  </si>
  <si>
    <t>Aarav 1</t>
  </si>
  <si>
    <t>ORD0159</t>
  </si>
  <si>
    <t>ORD0160</t>
  </si>
  <si>
    <t>Riya 56</t>
  </si>
  <si>
    <t>ORD0161</t>
  </si>
  <si>
    <t>Vikram 25</t>
  </si>
  <si>
    <t>ORD0162</t>
  </si>
  <si>
    <t>Ananya 83</t>
  </si>
  <si>
    <t>ORD0163</t>
  </si>
  <si>
    <t>ORD0164</t>
  </si>
  <si>
    <t>Aarav 9</t>
  </si>
  <si>
    <t>ORD0165</t>
  </si>
  <si>
    <t>Riya 36</t>
  </si>
  <si>
    <t>ORD0166</t>
  </si>
  <si>
    <t>Ananya 59</t>
  </si>
  <si>
    <t>ORD0167</t>
  </si>
  <si>
    <t>ORD0168</t>
  </si>
  <si>
    <t>ORD0169</t>
  </si>
  <si>
    <t>Priya 9</t>
  </si>
  <si>
    <t>ORD0170</t>
  </si>
  <si>
    <t>Priya 49</t>
  </si>
  <si>
    <t>ORD0171</t>
  </si>
  <si>
    <t>Aarav 69</t>
  </si>
  <si>
    <t>ORD0172</t>
  </si>
  <si>
    <t>Priya 3</t>
  </si>
  <si>
    <t>ORD0173</t>
  </si>
  <si>
    <t>ORD0174</t>
  </si>
  <si>
    <t>Sneha 81</t>
  </si>
  <si>
    <t>ORD0175</t>
  </si>
  <si>
    <t>Riya 31</t>
  </si>
  <si>
    <t>ORD0176</t>
  </si>
  <si>
    <t>Ananya 6</t>
  </si>
  <si>
    <t>ORD0177</t>
  </si>
  <si>
    <t>Priya 94</t>
  </si>
  <si>
    <t>ORD0178</t>
  </si>
  <si>
    <t>Aarav 68</t>
  </si>
  <si>
    <t>ORD0179</t>
  </si>
  <si>
    <t>Karan 3</t>
  </si>
  <si>
    <t>ORD0180</t>
  </si>
  <si>
    <t>ORD0181</t>
  </si>
  <si>
    <t>Vikram 16</t>
  </si>
  <si>
    <t>ORD0182</t>
  </si>
  <si>
    <t>Priya 41</t>
  </si>
  <si>
    <t>ORD0183</t>
  </si>
  <si>
    <t>Priya 74</t>
  </si>
  <si>
    <t>ORD0184</t>
  </si>
  <si>
    <t>Riya 27</t>
  </si>
  <si>
    <t>ORD0185</t>
  </si>
  <si>
    <t>Sneha 48</t>
  </si>
  <si>
    <t>ORD0186</t>
  </si>
  <si>
    <t>ORD0187</t>
  </si>
  <si>
    <t>Sneha 74</t>
  </si>
  <si>
    <t>ORD0188</t>
  </si>
  <si>
    <t>Ananya 27</t>
  </si>
  <si>
    <t>ORD0189</t>
  </si>
  <si>
    <t>Karan 9</t>
  </si>
  <si>
    <t>ORD0190</t>
  </si>
  <si>
    <t>Aarav 32</t>
  </si>
  <si>
    <t>ORD0191</t>
  </si>
  <si>
    <t>Sneha 91</t>
  </si>
  <si>
    <t>ORD0192</t>
  </si>
  <si>
    <t>ORD0193</t>
  </si>
  <si>
    <t>Ananya 82</t>
  </si>
  <si>
    <t>ORD0194</t>
  </si>
  <si>
    <t>ORD0195</t>
  </si>
  <si>
    <t>Sneha 87</t>
  </si>
  <si>
    <t>ORD0196</t>
  </si>
  <si>
    <t>Vikram 76</t>
  </si>
  <si>
    <t>ORD0197</t>
  </si>
  <si>
    <t>Priya 92</t>
  </si>
  <si>
    <t>ORD0198</t>
  </si>
  <si>
    <t>ORD0199</t>
  </si>
  <si>
    <t>Vikram 1</t>
  </si>
  <si>
    <t>ORD0200</t>
  </si>
  <si>
    <t>Ananya 94</t>
  </si>
  <si>
    <t>ORD0201</t>
  </si>
  <si>
    <t>Rahul 87</t>
  </si>
  <si>
    <t>ORD0202</t>
  </si>
  <si>
    <t>Aarav 84</t>
  </si>
  <si>
    <t>ORD0203</t>
  </si>
  <si>
    <t>Rahul 42</t>
  </si>
  <si>
    <t>ORD0204</t>
  </si>
  <si>
    <t>Ananya 98</t>
  </si>
  <si>
    <t>ORD0205</t>
  </si>
  <si>
    <t>Riya 64</t>
  </si>
  <si>
    <t>ORD0206</t>
  </si>
  <si>
    <t>Sneha 6</t>
  </si>
  <si>
    <t>ORD0207</t>
  </si>
  <si>
    <t>Ananya 49</t>
  </si>
  <si>
    <t>ORD0208</t>
  </si>
  <si>
    <t>Rahul 3</t>
  </si>
  <si>
    <t>ORD0209</t>
  </si>
  <si>
    <t>Riya 3</t>
  </si>
  <si>
    <t>ORD0210</t>
  </si>
  <si>
    <t>Priya 26</t>
  </si>
  <si>
    <t>ORD0211</t>
  </si>
  <si>
    <t>Ananya 56</t>
  </si>
  <si>
    <t>ORD0212</t>
  </si>
  <si>
    <t>Karan 73</t>
  </si>
  <si>
    <t>ORD0213</t>
  </si>
  <si>
    <t>ORD0214</t>
  </si>
  <si>
    <t>Rahul 78</t>
  </si>
  <si>
    <t>ORD0215</t>
  </si>
  <si>
    <t>ORD0216</t>
  </si>
  <si>
    <t>ORD0217</t>
  </si>
  <si>
    <t>ORD0218</t>
  </si>
  <si>
    <t>Rahul 61</t>
  </si>
  <si>
    <t>ORD0219</t>
  </si>
  <si>
    <t>Vikram 70</t>
  </si>
  <si>
    <t>ORD0220</t>
  </si>
  <si>
    <t>Rahul 43</t>
  </si>
  <si>
    <t>ORD0221</t>
  </si>
  <si>
    <t>Riya 11</t>
  </si>
  <si>
    <t>ORD0222</t>
  </si>
  <si>
    <t>ORD0223</t>
  </si>
  <si>
    <t>Karan 15</t>
  </si>
  <si>
    <t>ORD0224</t>
  </si>
  <si>
    <t>Karan 1</t>
  </si>
  <si>
    <t>ORD0225</t>
  </si>
  <si>
    <t>Karan 5</t>
  </si>
  <si>
    <t>ORD0226</t>
  </si>
  <si>
    <t>Vikram 90</t>
  </si>
  <si>
    <t>ORD0227</t>
  </si>
  <si>
    <t>Sneha 43</t>
  </si>
  <si>
    <t>ORD0228</t>
  </si>
  <si>
    <t>Vikram 84</t>
  </si>
  <si>
    <t>ORD0229</t>
  </si>
  <si>
    <t>Vikram 10</t>
  </si>
  <si>
    <t>ORD0230</t>
  </si>
  <si>
    <t>Karan 43</t>
  </si>
  <si>
    <t>ORD0231</t>
  </si>
  <si>
    <t>ORD0232</t>
  </si>
  <si>
    <t>Vikram 5</t>
  </si>
  <si>
    <t>ORD0233</t>
  </si>
  <si>
    <t>Riya 52</t>
  </si>
  <si>
    <t>ORD0234</t>
  </si>
  <si>
    <t>ORD0235</t>
  </si>
  <si>
    <t>Riya 85</t>
  </si>
  <si>
    <t>ORD0236</t>
  </si>
  <si>
    <t>Priya 55</t>
  </si>
  <si>
    <t>ORD0237</t>
  </si>
  <si>
    <t>Riya 91</t>
  </si>
  <si>
    <t>ORD0238</t>
  </si>
  <si>
    <t>Karan 26</t>
  </si>
  <si>
    <t>ORD0239</t>
  </si>
  <si>
    <t>Riya 90</t>
  </si>
  <si>
    <t>ORD0240</t>
  </si>
  <si>
    <t>ORD0241</t>
  </si>
  <si>
    <t>Vikram 71</t>
  </si>
  <si>
    <t>ORD0242</t>
  </si>
  <si>
    <t>Karan 71</t>
  </si>
  <si>
    <t>ORD0243</t>
  </si>
  <si>
    <t>Riya 46</t>
  </si>
  <si>
    <t>ORD0244</t>
  </si>
  <si>
    <t>ORD0245</t>
  </si>
  <si>
    <t>Riya 32</t>
  </si>
  <si>
    <t>ORD0246</t>
  </si>
  <si>
    <t>Sneha 51</t>
  </si>
  <si>
    <t>ORD0247</t>
  </si>
  <si>
    <t>Vikram 98</t>
  </si>
  <si>
    <t>ORD0248</t>
  </si>
  <si>
    <t>Priya 7</t>
  </si>
  <si>
    <t>ORD0249</t>
  </si>
  <si>
    <t>ORD0250</t>
  </si>
  <si>
    <t>Vikram 20</t>
  </si>
  <si>
    <t>ORD0251</t>
  </si>
  <si>
    <t>ORD0252</t>
  </si>
  <si>
    <t>Riya 63</t>
  </si>
  <si>
    <t>ORD0253</t>
  </si>
  <si>
    <t>Sneha 64</t>
  </si>
  <si>
    <t>ORD0254</t>
  </si>
  <si>
    <t>Vikram 32</t>
  </si>
  <si>
    <t>ORD0255</t>
  </si>
  <si>
    <t>Karan 8</t>
  </si>
  <si>
    <t>ORD0256</t>
  </si>
  <si>
    <t>Karan 61</t>
  </si>
  <si>
    <t>ORD0257</t>
  </si>
  <si>
    <t>Vikram 59</t>
  </si>
  <si>
    <t>ORD0258</t>
  </si>
  <si>
    <t>Priya 50</t>
  </si>
  <si>
    <t>ORD0259</t>
  </si>
  <si>
    <t>ORD0260</t>
  </si>
  <si>
    <t>Vikram 34</t>
  </si>
  <si>
    <t>ORD0261</t>
  </si>
  <si>
    <t>Sneha 3</t>
  </si>
  <si>
    <t>ORD0262</t>
  </si>
  <si>
    <t>Karan 30</t>
  </si>
  <si>
    <t>ORD0263</t>
  </si>
  <si>
    <t>Ananya 78</t>
  </si>
  <si>
    <t>ORD0264</t>
  </si>
  <si>
    <t>Riya 88</t>
  </si>
  <si>
    <t>ORD0265</t>
  </si>
  <si>
    <t>ORD0266</t>
  </si>
  <si>
    <t>ORD0267</t>
  </si>
  <si>
    <t>Priya 89</t>
  </si>
  <si>
    <t>ORD0268</t>
  </si>
  <si>
    <t>Karan 76</t>
  </si>
  <si>
    <t>ORD0269</t>
  </si>
  <si>
    <t>ORD0270</t>
  </si>
  <si>
    <t>Rahul 47</t>
  </si>
  <si>
    <t>ORD0271</t>
  </si>
  <si>
    <t>ORD0272</t>
  </si>
  <si>
    <t>Karan 28</t>
  </si>
  <si>
    <t>ORD0273</t>
  </si>
  <si>
    <t>Priya 38</t>
  </si>
  <si>
    <t>ORD0274</t>
  </si>
  <si>
    <t>ORD0275</t>
  </si>
  <si>
    <t>Priya 20</t>
  </si>
  <si>
    <t>ORD0276</t>
  </si>
  <si>
    <t>Sneha 54</t>
  </si>
  <si>
    <t>ORD0277</t>
  </si>
  <si>
    <t>Riya 20</t>
  </si>
  <si>
    <t>ORD0278</t>
  </si>
  <si>
    <t>Rahul 62</t>
  </si>
  <si>
    <t>ORD0279</t>
  </si>
  <si>
    <t>Rahul 46</t>
  </si>
  <si>
    <t>ORD0280</t>
  </si>
  <si>
    <t>ORD0281</t>
  </si>
  <si>
    <t>Rahul 25</t>
  </si>
  <si>
    <t>ORD0282</t>
  </si>
  <si>
    <t>Priya 61</t>
  </si>
  <si>
    <t>ORD0283</t>
  </si>
  <si>
    <t>Sneha 16</t>
  </si>
  <si>
    <t>ORD0284</t>
  </si>
  <si>
    <t>Karan 48</t>
  </si>
  <si>
    <t>ORD0285</t>
  </si>
  <si>
    <t>Priya 2</t>
  </si>
  <si>
    <t>ORD0286</t>
  </si>
  <si>
    <t>Karan 87</t>
  </si>
  <si>
    <t>ORD0287</t>
  </si>
  <si>
    <t>Priya 45</t>
  </si>
  <si>
    <t>ORD0288</t>
  </si>
  <si>
    <t>Rahul 85</t>
  </si>
  <si>
    <t>ORD0289</t>
  </si>
  <si>
    <t>Priya 18</t>
  </si>
  <si>
    <t>ORD0290</t>
  </si>
  <si>
    <t>Sneha 66</t>
  </si>
  <si>
    <t>ORD0291</t>
  </si>
  <si>
    <t>Riya 54</t>
  </si>
  <si>
    <t>ORD0292</t>
  </si>
  <si>
    <t>Karan 35</t>
  </si>
  <si>
    <t>ORD0293</t>
  </si>
  <si>
    <t>ORD0294</t>
  </si>
  <si>
    <t>Vikram 88</t>
  </si>
  <si>
    <t>ORD0295</t>
  </si>
  <si>
    <t>Vikram 65</t>
  </si>
  <si>
    <t>ORD0296</t>
  </si>
  <si>
    <t>ORD0297</t>
  </si>
  <si>
    <t>Rahul 53</t>
  </si>
  <si>
    <t>ORD0298</t>
  </si>
  <si>
    <t>Sneha 32</t>
  </si>
  <si>
    <t>ORD0299</t>
  </si>
  <si>
    <t>ORD0300</t>
  </si>
  <si>
    <t>ORD0301</t>
  </si>
  <si>
    <t>Priya 80</t>
  </si>
  <si>
    <t>ORD0302</t>
  </si>
  <si>
    <t>Karan 12</t>
  </si>
  <si>
    <t>ORD0303</t>
  </si>
  <si>
    <t>Aarav 38</t>
  </si>
  <si>
    <t>ORD0304</t>
  </si>
  <si>
    <t>Sneha 76</t>
  </si>
  <si>
    <t>ORD0305</t>
  </si>
  <si>
    <t>Vikram 17</t>
  </si>
  <si>
    <t>ORD0306</t>
  </si>
  <si>
    <t>Riya 25</t>
  </si>
  <si>
    <t>ORD0307</t>
  </si>
  <si>
    <t>ORD0308</t>
  </si>
  <si>
    <t>Vikram 3</t>
  </si>
  <si>
    <t>ORD0309</t>
  </si>
  <si>
    <t>Ananya 14</t>
  </si>
  <si>
    <t>ORD0310</t>
  </si>
  <si>
    <t>Vikram 41</t>
  </si>
  <si>
    <t>ORD0311</t>
  </si>
  <si>
    <t>Ananya 85</t>
  </si>
  <si>
    <t>ORD0312</t>
  </si>
  <si>
    <t>Priya 30</t>
  </si>
  <si>
    <t>ORD0313</t>
  </si>
  <si>
    <t>Rahul 26</t>
  </si>
  <si>
    <t>ORD0314</t>
  </si>
  <si>
    <t>ORD0315</t>
  </si>
  <si>
    <t>Sneha 99</t>
  </si>
  <si>
    <t>ORD0316</t>
  </si>
  <si>
    <t>Vikram 29</t>
  </si>
  <si>
    <t>ORD0317</t>
  </si>
  <si>
    <t>ORD0318</t>
  </si>
  <si>
    <t>Rahul 15</t>
  </si>
  <si>
    <t>ORD0319</t>
  </si>
  <si>
    <t>ORD0320</t>
  </si>
  <si>
    <t>ORD0321</t>
  </si>
  <si>
    <t>Rahul 49</t>
  </si>
  <si>
    <t>ORD0322</t>
  </si>
  <si>
    <t>Sneha 61</t>
  </si>
  <si>
    <t>ORD0323</t>
  </si>
  <si>
    <t>ORD0324</t>
  </si>
  <si>
    <t>Sneha 50</t>
  </si>
  <si>
    <t>ORD0325</t>
  </si>
  <si>
    <t>ORD0326</t>
  </si>
  <si>
    <t>Sneha 39</t>
  </si>
  <si>
    <t>ORD0327</t>
  </si>
  <si>
    <t>Aarav 64</t>
  </si>
  <si>
    <t>ORD0328</t>
  </si>
  <si>
    <t>Sneha 12</t>
  </si>
  <si>
    <t>ORD0329</t>
  </si>
  <si>
    <t>Aarav 20</t>
  </si>
  <si>
    <t>ORD0330</t>
  </si>
  <si>
    <t>ORD0331</t>
  </si>
  <si>
    <t>Riya 21</t>
  </si>
  <si>
    <t>ORD0332</t>
  </si>
  <si>
    <t>ORD0333</t>
  </si>
  <si>
    <t>Rahul 18</t>
  </si>
  <si>
    <t>ORD0334</t>
  </si>
  <si>
    <t>ORD0335</t>
  </si>
  <si>
    <t>Ananya 50</t>
  </si>
  <si>
    <t>ORD0336</t>
  </si>
  <si>
    <t>ORD0337</t>
  </si>
  <si>
    <t>ORD0338</t>
  </si>
  <si>
    <t>ORD0339</t>
  </si>
  <si>
    <t>ORD0340</t>
  </si>
  <si>
    <t>ORD0341</t>
  </si>
  <si>
    <t>ORD0342</t>
  </si>
  <si>
    <t>Sneha 10</t>
  </si>
  <si>
    <t>ORD0343</t>
  </si>
  <si>
    <t>ORD0344</t>
  </si>
  <si>
    <t>Aarav 79</t>
  </si>
  <si>
    <t>ORD0345</t>
  </si>
  <si>
    <t>Riya 55</t>
  </si>
  <si>
    <t>ORD0346</t>
  </si>
  <si>
    <t>Karan 24</t>
  </si>
  <si>
    <t>ORD0347</t>
  </si>
  <si>
    <t>Sneha 42</t>
  </si>
  <si>
    <t>ORD0348</t>
  </si>
  <si>
    <t>Vikram 22</t>
  </si>
  <si>
    <t>ORD0349</t>
  </si>
  <si>
    <t>Aarav 63</t>
  </si>
  <si>
    <t>ORD0350</t>
  </si>
  <si>
    <t>Karan 68</t>
  </si>
  <si>
    <t>ORD0351</t>
  </si>
  <si>
    <t>Karan 96</t>
  </si>
  <si>
    <t>ORD0352</t>
  </si>
  <si>
    <t>ORD0353</t>
  </si>
  <si>
    <t>Priya 8</t>
  </si>
  <si>
    <t>ORD0354</t>
  </si>
  <si>
    <t>Vikram 96</t>
  </si>
  <si>
    <t>ORD0355</t>
  </si>
  <si>
    <t>ORD0356</t>
  </si>
  <si>
    <t>Ananya 84</t>
  </si>
  <si>
    <t>ORD0357</t>
  </si>
  <si>
    <t>ORD0358</t>
  </si>
  <si>
    <t>Karan 2</t>
  </si>
  <si>
    <t>ORD0359</t>
  </si>
  <si>
    <t>Rahul 38</t>
  </si>
  <si>
    <t>ORD0360</t>
  </si>
  <si>
    <t>Karan 36</t>
  </si>
  <si>
    <t>ORD0361</t>
  </si>
  <si>
    <t>Karan 56</t>
  </si>
  <si>
    <t>ORD0362</t>
  </si>
  <si>
    <t>Sneha 1</t>
  </si>
  <si>
    <t>ORD0363</t>
  </si>
  <si>
    <t>Aarav 73</t>
  </si>
  <si>
    <t>ORD0364</t>
  </si>
  <si>
    <t>Priya 14</t>
  </si>
  <si>
    <t>ORD0365</t>
  </si>
  <si>
    <t>ORD0366</t>
  </si>
  <si>
    <t>Sneha 20</t>
  </si>
  <si>
    <t>ORD0367</t>
  </si>
  <si>
    <t>Ananya 25</t>
  </si>
  <si>
    <t>ORD0368</t>
  </si>
  <si>
    <t>ORD0369</t>
  </si>
  <si>
    <t>ORD0370</t>
  </si>
  <si>
    <t>ORD0371</t>
  </si>
  <si>
    <t>Vikram 27</t>
  </si>
  <si>
    <t>ORD0372</t>
  </si>
  <si>
    <t>Priya 97</t>
  </si>
  <si>
    <t>ORD0373</t>
  </si>
  <si>
    <t>ORD0374</t>
  </si>
  <si>
    <t>ORD0375</t>
  </si>
  <si>
    <t>ORD0376</t>
  </si>
  <si>
    <t>Ananya 9</t>
  </si>
  <si>
    <t>ORD0377</t>
  </si>
  <si>
    <t>Riya 2</t>
  </si>
  <si>
    <t>ORD0378</t>
  </si>
  <si>
    <t>ORD0379</t>
  </si>
  <si>
    <t>Ananya 96</t>
  </si>
  <si>
    <t>ORD0380</t>
  </si>
  <si>
    <t>ORD0381</t>
  </si>
  <si>
    <t>Rahul 57</t>
  </si>
  <si>
    <t>ORD0382</t>
  </si>
  <si>
    <t>Rahul 79</t>
  </si>
  <si>
    <t>ORD0383</t>
  </si>
  <si>
    <t>Aarav 4</t>
  </si>
  <si>
    <t>ORD0384</t>
  </si>
  <si>
    <t>Ananya 7</t>
  </si>
  <si>
    <t>ORD0385</t>
  </si>
  <si>
    <t>ORD0386</t>
  </si>
  <si>
    <t>Aarav 7</t>
  </si>
  <si>
    <t>ORD0387</t>
  </si>
  <si>
    <t>Vikram 67</t>
  </si>
  <si>
    <t>ORD0388</t>
  </si>
  <si>
    <t>Riya 19</t>
  </si>
  <si>
    <t>ORD0389</t>
  </si>
  <si>
    <t>ORD0390</t>
  </si>
  <si>
    <t>Aarav 15</t>
  </si>
  <si>
    <t>ORD0391</t>
  </si>
  <si>
    <t>Karan 45</t>
  </si>
  <si>
    <t>ORD0392</t>
  </si>
  <si>
    <t>Rahul 54</t>
  </si>
  <si>
    <t>ORD0393</t>
  </si>
  <si>
    <t>Vikram 75</t>
  </si>
  <si>
    <t>ORD0394</t>
  </si>
  <si>
    <t>Riya 22</t>
  </si>
  <si>
    <t>ORD0395</t>
  </si>
  <si>
    <t>Aarav 48</t>
  </si>
  <si>
    <t>ORD0396</t>
  </si>
  <si>
    <t>ORD0397</t>
  </si>
  <si>
    <t>Vikram 30</t>
  </si>
  <si>
    <t>ORD0398</t>
  </si>
  <si>
    <t>ORD0399</t>
  </si>
  <si>
    <t>Vikram 51</t>
  </si>
  <si>
    <t>ORD0400</t>
  </si>
  <si>
    <t>ORD0401</t>
  </si>
  <si>
    <t>Ananya 74</t>
  </si>
  <si>
    <t>ORD0402</t>
  </si>
  <si>
    <t>Sneha 93</t>
  </si>
  <si>
    <t>ORD0403</t>
  </si>
  <si>
    <t>Riya 75</t>
  </si>
  <si>
    <t>ORD0404</t>
  </si>
  <si>
    <t>Sneha 30</t>
  </si>
  <si>
    <t>ORD0405</t>
  </si>
  <si>
    <t>Ananya 72</t>
  </si>
  <si>
    <t>ORD0406</t>
  </si>
  <si>
    <t>Aarav 88</t>
  </si>
  <si>
    <t>ORD0407</t>
  </si>
  <si>
    <t>ORD0408</t>
  </si>
  <si>
    <t>Rahul 23</t>
  </si>
  <si>
    <t>ORD0409</t>
  </si>
  <si>
    <t>ORD0410</t>
  </si>
  <si>
    <t>Priya 84</t>
  </si>
  <si>
    <t>ORD0411</t>
  </si>
  <si>
    <t>Karan 97</t>
  </si>
  <si>
    <t>ORD0412</t>
  </si>
  <si>
    <t>ORD0413</t>
  </si>
  <si>
    <t>Aarav 31</t>
  </si>
  <si>
    <t>ORD0414</t>
  </si>
  <si>
    <t>Rahul 71</t>
  </si>
  <si>
    <t>ORD0415</t>
  </si>
  <si>
    <t>Riya 60</t>
  </si>
  <si>
    <t>ORD0416</t>
  </si>
  <si>
    <t>ORD0417</t>
  </si>
  <si>
    <t>ORD0418</t>
  </si>
  <si>
    <t>Aarav 49</t>
  </si>
  <si>
    <t>ORD0419</t>
  </si>
  <si>
    <t>ORD0420</t>
  </si>
  <si>
    <t>ORD0421</t>
  </si>
  <si>
    <t>ORD0422</t>
  </si>
  <si>
    <t>Aarav 18</t>
  </si>
  <si>
    <t>ORD0423</t>
  </si>
  <si>
    <t>Ananya 24</t>
  </si>
  <si>
    <t>ORD0424</t>
  </si>
  <si>
    <t>ORD0425</t>
  </si>
  <si>
    <t>Vikram 95</t>
  </si>
  <si>
    <t>ORD0426</t>
  </si>
  <si>
    <t>Sneha 8</t>
  </si>
  <si>
    <t>ORD0427</t>
  </si>
  <si>
    <t>ORD0428</t>
  </si>
  <si>
    <t>Riya 76</t>
  </si>
  <si>
    <t>ORD0429</t>
  </si>
  <si>
    <t>Riya 34</t>
  </si>
  <si>
    <t>ORD0430</t>
  </si>
  <si>
    <t>Priya 13</t>
  </si>
  <si>
    <t>ORD0431</t>
  </si>
  <si>
    <t>ORD0432</t>
  </si>
  <si>
    <t>ORD0433</t>
  </si>
  <si>
    <t>Aarav 28</t>
  </si>
  <si>
    <t>ORD0434</t>
  </si>
  <si>
    <t>ORD0435</t>
  </si>
  <si>
    <t>ORD0436</t>
  </si>
  <si>
    <t>Vikram 48</t>
  </si>
  <si>
    <t>ORD0437</t>
  </si>
  <si>
    <t>ORD0438</t>
  </si>
  <si>
    <t>Aarav 41</t>
  </si>
  <si>
    <t>ORD0439</t>
  </si>
  <si>
    <t>ORD0440</t>
  </si>
  <si>
    <t>ORD0441</t>
  </si>
  <si>
    <t>Rahul 86</t>
  </si>
  <si>
    <t>ORD0442</t>
  </si>
  <si>
    <t>ORD0443</t>
  </si>
  <si>
    <t>ORD0444</t>
  </si>
  <si>
    <t>ORD0445</t>
  </si>
  <si>
    <t>Karan 67</t>
  </si>
  <si>
    <t>ORD0446</t>
  </si>
  <si>
    <t>ORD0447</t>
  </si>
  <si>
    <t>Vikram 43</t>
  </si>
  <si>
    <t>ORD0448</t>
  </si>
  <si>
    <t>ORD0449</t>
  </si>
  <si>
    <t>Vikram 7</t>
  </si>
  <si>
    <t>ORD0450</t>
  </si>
  <si>
    <t>ORD0451</t>
  </si>
  <si>
    <t>ORD0452</t>
  </si>
  <si>
    <t>ORD0453</t>
  </si>
  <si>
    <t>Priya 33</t>
  </si>
  <si>
    <t>ORD0454</t>
  </si>
  <si>
    <t>ORD0455</t>
  </si>
  <si>
    <t>ORD0456</t>
  </si>
  <si>
    <t>Riya 74</t>
  </si>
  <si>
    <t>ORD0457</t>
  </si>
  <si>
    <t>Sneha 49</t>
  </si>
  <si>
    <t>ORD0458</t>
  </si>
  <si>
    <t>ORD0459</t>
  </si>
  <si>
    <t>Priya 4</t>
  </si>
  <si>
    <t>ORD0460</t>
  </si>
  <si>
    <t>Sneha 14</t>
  </si>
  <si>
    <t>ORD0461</t>
  </si>
  <si>
    <t>Vikram 68</t>
  </si>
  <si>
    <t>ORD0462</t>
  </si>
  <si>
    <t>ORD0463</t>
  </si>
  <si>
    <t>Sneha 71</t>
  </si>
  <si>
    <t>ORD0464</t>
  </si>
  <si>
    <t>ORD0465</t>
  </si>
  <si>
    <t>ORD0466</t>
  </si>
  <si>
    <t>Ananya 64</t>
  </si>
  <si>
    <t>ORD0467</t>
  </si>
  <si>
    <t>ORD0468</t>
  </si>
  <si>
    <t>Karan 10</t>
  </si>
  <si>
    <t>ORD0469</t>
  </si>
  <si>
    <t>ORD0470</t>
  </si>
  <si>
    <t>Ananya 48</t>
  </si>
  <si>
    <t>ORD0471</t>
  </si>
  <si>
    <t>ORD0472</t>
  </si>
  <si>
    <t>Priya 93</t>
  </si>
  <si>
    <t>ORD0473</t>
  </si>
  <si>
    <t>ORD0474</t>
  </si>
  <si>
    <t>ORD0475</t>
  </si>
  <si>
    <t>Sneha 26</t>
  </si>
  <si>
    <t>ORD0476</t>
  </si>
  <si>
    <t>Rahul 56</t>
  </si>
  <si>
    <t>ORD0477</t>
  </si>
  <si>
    <t>ORD0478</t>
  </si>
  <si>
    <t>Rahul 40</t>
  </si>
  <si>
    <t>ORD0479</t>
  </si>
  <si>
    <t>ORD0480</t>
  </si>
  <si>
    <t>Aarav 6</t>
  </si>
  <si>
    <t>ORD0481</t>
  </si>
  <si>
    <t>ORD0482</t>
  </si>
  <si>
    <t>ORD0483</t>
  </si>
  <si>
    <t>Karan 64</t>
  </si>
  <si>
    <t>ORD0484</t>
  </si>
  <si>
    <t>ORD0485</t>
  </si>
  <si>
    <t>Riya 79</t>
  </si>
  <si>
    <t>ORD0486</t>
  </si>
  <si>
    <t>ORD0487</t>
  </si>
  <si>
    <t>Sneha 44</t>
  </si>
  <si>
    <t>ORD0488</t>
  </si>
  <si>
    <t>ORD0489</t>
  </si>
  <si>
    <t>Rahul 16</t>
  </si>
  <si>
    <t>ORD0490</t>
  </si>
  <si>
    <t>Aarav 53</t>
  </si>
  <si>
    <t>ORD0491</t>
  </si>
  <si>
    <t>ORD0492</t>
  </si>
  <si>
    <t>ORD0493</t>
  </si>
  <si>
    <t>ORD0494</t>
  </si>
  <si>
    <t>Karan 55</t>
  </si>
  <si>
    <t>ORD0495</t>
  </si>
  <si>
    <t>Aarav 10</t>
  </si>
  <si>
    <t>ORD0496</t>
  </si>
  <si>
    <t>Rahul 36</t>
  </si>
  <si>
    <t>ORD0497</t>
  </si>
  <si>
    <t>ORD0498</t>
  </si>
  <si>
    <t>Aarav 66</t>
  </si>
  <si>
    <t>ORD0499</t>
  </si>
  <si>
    <t>Vikram 11</t>
  </si>
  <si>
    <t>ORD0500</t>
  </si>
  <si>
    <t>Total profit</t>
  </si>
  <si>
    <t>Total sales revenue</t>
  </si>
  <si>
    <t>Total orders</t>
  </si>
  <si>
    <t>Row Labels</t>
  </si>
  <si>
    <t>Grand Total</t>
  </si>
  <si>
    <t>Sum of Amount</t>
  </si>
  <si>
    <t>Sum of Quantity</t>
  </si>
  <si>
    <t>Sum of Profit</t>
  </si>
  <si>
    <t>month</t>
  </si>
  <si>
    <t>January</t>
  </si>
  <si>
    <t>February</t>
  </si>
  <si>
    <t>March</t>
  </si>
  <si>
    <t>April</t>
  </si>
  <si>
    <t>May</t>
  </si>
  <si>
    <t>June</t>
  </si>
  <si>
    <t>July</t>
  </si>
  <si>
    <t>August</t>
  </si>
  <si>
    <t>September</t>
  </si>
  <si>
    <t>October</t>
  </si>
  <si>
    <t>November</t>
  </si>
  <si>
    <t>December</t>
  </si>
  <si>
    <t>top selling product</t>
  </si>
  <si>
    <t>highest revenue city</t>
  </si>
  <si>
    <t>highest 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</si>
</sst>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_ [$₹-4009]\ * #,##0.00_ ;_ [$₹-4009]\ * \-#,##0.00_ ;_ [$₹-4009]\ * &quot;-&quot;??_ ;_ @_ "/>
  </numFmts>
  <fonts count="6" x14ac:knownFonts="1">
    <font>
      <sz val="11"/>
      <color theme="1"/>
      <name val="Calibri"/>
      <family val="2"/>
      <scheme val="minor"/>
    </font>
    <font>
      <b/>
      <sz val="11"/>
      <color theme="1"/>
      <name val="Calibri"/>
      <family val="2"/>
      <scheme val="minor"/>
    </font>
    <font>
      <sz val="18"/>
      <color theme="3" tint="0.59999389629810485"/>
      <name val="Calibri"/>
      <family val="2"/>
      <scheme val="minor"/>
    </font>
    <font>
      <sz val="11"/>
      <color theme="3" tint="0.59999389629810485"/>
      <name val="Calibri"/>
      <family val="2"/>
      <scheme val="minor"/>
    </font>
    <font>
      <sz val="11"/>
      <color theme="5" tint="-0.249977111117893"/>
      <name val="Calibri"/>
      <family val="2"/>
      <scheme val="minor"/>
    </font>
    <font>
      <b/>
      <sz val="13.5"/>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8">
    <xf numFmtId="0" fontId="0" fillId="0" borderId="0" xfId="0"/>
    <xf numFmtId="0" fontId="1" fillId="0" borderId="1" xfId="0" applyFont="1" applyBorder="1"/>
    <xf numFmtId="0" fontId="0" fillId="0" borderId="1" xfId="0" applyBorder="1"/>
    <xf numFmtId="9" fontId="0" fillId="0" borderId="1" xfId="0" applyNumberFormat="1" applyBorder="1"/>
    <xf numFmtId="0" fontId="0" fillId="0" borderId="2" xfId="0" applyBorder="1"/>
    <xf numFmtId="0" fontId="1" fillId="0" borderId="4" xfId="0" applyFont="1" applyBorder="1"/>
    <xf numFmtId="0" fontId="1" fillId="0" borderId="5" xfId="0" applyFont="1" applyBorder="1"/>
    <xf numFmtId="0" fontId="0" fillId="0" borderId="7" xfId="0" applyBorder="1"/>
    <xf numFmtId="0" fontId="0" fillId="0" borderId="8" xfId="0" applyBorder="1"/>
    <xf numFmtId="9" fontId="0" fillId="0" borderId="8" xfId="0" applyNumberFormat="1" applyBorder="1"/>
    <xf numFmtId="0" fontId="1" fillId="0" borderId="0" xfId="0" applyFont="1"/>
    <xf numFmtId="0" fontId="0" fillId="0" borderId="0" xfId="0" pivotButton="1"/>
    <xf numFmtId="0" fontId="0" fillId="0" borderId="0" xfId="0" applyAlignment="1">
      <alignment horizontal="left"/>
    </xf>
    <xf numFmtId="164" fontId="1" fillId="0" borderId="5" xfId="0" applyNumberFormat="1" applyFont="1" applyBorder="1"/>
    <xf numFmtId="164" fontId="0" fillId="0" borderId="1" xfId="0" applyNumberFormat="1" applyBorder="1"/>
    <xf numFmtId="164" fontId="0" fillId="0" borderId="8" xfId="0" applyNumberFormat="1" applyBorder="1"/>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3" fillId="2" borderId="0" xfId="0" applyFont="1" applyFill="1"/>
    <xf numFmtId="0" fontId="4" fillId="2" borderId="0" xfId="0" applyFont="1" applyFill="1"/>
    <xf numFmtId="0" fontId="2" fillId="2" borderId="0" xfId="0" applyFont="1" applyFill="1"/>
    <xf numFmtId="0" fontId="5" fillId="0" borderId="0" xfId="0" applyFont="1" applyAlignment="1">
      <alignment vertical="center"/>
    </xf>
    <xf numFmtId="166" fontId="1" fillId="0" borderId="5" xfId="0" applyNumberFormat="1" applyFont="1" applyBorder="1"/>
    <xf numFmtId="166" fontId="0" fillId="0" borderId="1" xfId="0" applyNumberFormat="1" applyBorder="1"/>
    <xf numFmtId="166" fontId="0" fillId="0" borderId="8" xfId="0" applyNumberFormat="1" applyBorder="1"/>
    <xf numFmtId="166" fontId="0" fillId="0" borderId="0" xfId="0" applyNumberFormat="1"/>
    <xf numFmtId="166" fontId="1" fillId="0" borderId="6" xfId="0" applyNumberFormat="1" applyFont="1" applyBorder="1"/>
    <xf numFmtId="166" fontId="0" fillId="0" borderId="3" xfId="0" applyNumberFormat="1" applyBorder="1"/>
    <xf numFmtId="166" fontId="0" fillId="0" borderId="9" xfId="0" applyNumberFormat="1" applyBorder="1"/>
    <xf numFmtId="0" fontId="1" fillId="0" borderId="0" xfId="0" applyFont="1" applyBorder="1"/>
  </cellXfs>
  <cellStyles count="1">
    <cellStyle name="Normal" xfId="0" builtinId="0"/>
  </cellStyles>
  <dxfs count="36">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border diagonalUp="0" diagonalDown="0" outline="0">
        <left style="thin">
          <color indexed="64"/>
        </left>
        <right/>
        <top style="thin">
          <color indexed="64"/>
        </top>
        <bottom style="thin">
          <color indexed="64"/>
        </bottom>
      </border>
    </dxf>
    <dxf>
      <numFmt numFmtId="166" formatCode="_ [$₹-4009]\ * #,##0.00_ ;_ [$₹-4009]\ * \-#,##0.00_ ;_ [$₹-4009]\ * &quot;-&quot;??_ ;_ @_ "/>
      <border diagonalUp="0" diagonalDown="0" outline="0">
        <left style="thin">
          <color indexed="64"/>
        </left>
        <right style="thin">
          <color indexed="64"/>
        </right>
        <top style="thin">
          <color indexed="64"/>
        </top>
        <bottom style="thin">
          <color indexed="64"/>
        </bottom>
      </border>
    </dxf>
    <dxf>
      <numFmt numFmtId="166" formatCode="_ [$₹-4009]\ * #,##0.00_ ;_ [$₹-4009]\ * \-#,##0.00_ ;_ [$₹-4009]\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164" formatCode="[$-F800]dddd\,\ mmmm\ dd\,\ yyyy"/>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border>
    </dxf>
    <dxf>
      <numFmt numFmtId="0" formatCode="General"/>
      <border diagonalUp="0" diagonalDown="0">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9" defaultPivotStyle="PivotStyleLight16"/>
  <colors>
    <mruColors>
      <color rgb="FFE8F5EE"/>
      <color rgb="FF1E6428"/>
      <color rgb="FFE6F0FA"/>
      <color rgb="FF503728"/>
      <color rgb="FFF7F3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[Restaurant_Sales_Dataset_500_Rows.xlsx]Pivot tables!PivotTable4</c:name>
    <c:fmtId val="3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IN" sz="1400" b="0" i="0" u="none" strike="noStrike" baseline="0">
                <a:solidFill>
                  <a:schemeClr val="accent1">
                    <a:lumMod val="75000"/>
                  </a:schemeClr>
                </a:solidFill>
              </a:rPr>
              <a:t>💳 </a:t>
            </a:r>
            <a:r>
              <a:rPr lang="en-IN" b="1">
                <a:solidFill>
                  <a:schemeClr val="accent1">
                    <a:lumMod val="75000"/>
                  </a:schemeClr>
                </a:solidFill>
              </a:rPr>
              <a:t>Revenue</a:t>
            </a:r>
            <a:r>
              <a:rPr lang="en-IN">
                <a:solidFill>
                  <a:schemeClr val="accent1">
                    <a:lumMod val="75000"/>
                  </a:schemeClr>
                </a:solidFill>
              </a:rPr>
              <a:t> </a:t>
            </a:r>
            <a:r>
              <a:rPr lang="en-IN" b="1">
                <a:solidFill>
                  <a:schemeClr val="accent1">
                    <a:lumMod val="75000"/>
                  </a:schemeClr>
                </a:solidFill>
              </a:rPr>
              <a:t>by</a:t>
            </a:r>
            <a:r>
              <a:rPr lang="en-IN">
                <a:solidFill>
                  <a:schemeClr val="accent1">
                    <a:lumMod val="75000"/>
                  </a:schemeClr>
                </a:solidFill>
              </a:rPr>
              <a:t> </a:t>
            </a:r>
            <a:r>
              <a:rPr lang="en-IN" b="1">
                <a:solidFill>
                  <a:schemeClr val="accent1">
                    <a:lumMod val="75000"/>
                  </a:schemeClr>
                </a:solidFill>
              </a:rPr>
              <a:t>Payment</a:t>
            </a:r>
            <a:r>
              <a:rPr lang="en-IN">
                <a:solidFill>
                  <a:schemeClr val="accent1">
                    <a:lumMod val="75000"/>
                  </a:schemeClr>
                </a:solidFill>
              </a:rPr>
              <a:t> </a:t>
            </a:r>
            <a:r>
              <a:rPr lang="en-IN" b="1">
                <a:solidFill>
                  <a:schemeClr val="accent1">
                    <a:lumMod val="75000"/>
                  </a:schemeClr>
                </a:solidFill>
              </a:rPr>
              <a:t>Method</a:t>
            </a:r>
          </a:p>
        </c:rich>
      </c:tx>
      <c:layout>
        <c:manualLayout>
          <c:xMode val="edge"/>
          <c:yMode val="edge"/>
          <c:x val="0.22130849953916187"/>
          <c:y val="2.65392781316348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IN"/>
        </a:p>
      </c:txPr>
    </c:title>
    <c:autoTitleDeleted val="0"/>
    <c:pivotFmts>
      <c:pivotFmt>
        <c:idx val="0"/>
        <c:spPr>
          <a:solidFill>
            <a:schemeClr val="accent1"/>
          </a:solidFill>
          <a:ln>
            <a:noFill/>
          </a:ln>
          <a:effectLst/>
          <a:sp3d contourW="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ontourW="25400">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1104184893554971"/>
                </c:manualLayout>
              </c15:layout>
            </c:ext>
          </c:extLst>
        </c:dLbl>
      </c:pivotFmt>
      <c:pivotFmt>
        <c:idx val="3"/>
        <c:spPr>
          <a:solidFill>
            <a:schemeClr val="accent1"/>
          </a:solidFill>
          <a:ln>
            <a:noFill/>
          </a:ln>
          <a:effectLst/>
          <a:sp3d contourW="25400">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2956036745406824"/>
                </c:manualLayout>
              </c15:layout>
            </c:ext>
          </c:extLst>
        </c:dLbl>
      </c:pivotFmt>
      <c:pivotFmt>
        <c:idx val="5"/>
        <c:spPr>
          <a:solidFill>
            <a:schemeClr val="accent1"/>
          </a:solidFill>
          <a:ln>
            <a:noFill/>
          </a:ln>
          <a:effectLst/>
          <a:sp3d contourW="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1104184893554971"/>
                </c:manualLayout>
              </c15:layout>
            </c:ext>
          </c:extLst>
        </c:dLbl>
      </c:pivotFmt>
      <c:pivotFmt>
        <c:idx val="7"/>
        <c:spPr>
          <a:solidFill>
            <a:schemeClr val="accent1"/>
          </a:solidFill>
          <a:ln>
            <a:noFill/>
          </a:ln>
          <a:effectLst/>
          <a:sp3d contourW="25400">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ontourW="25400">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2956036745406824"/>
                </c:manualLayout>
              </c15:layout>
            </c:ext>
          </c:extLst>
        </c:dLbl>
      </c:pivotFmt>
      <c:pivotFmt>
        <c:idx val="10"/>
        <c:spPr>
          <a:solidFill>
            <a:schemeClr val="accent1"/>
          </a:solidFill>
          <a:ln>
            <a:noFill/>
          </a:ln>
          <a:effectLst/>
          <a:sp3d contourW="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1104184893554971"/>
                </c:manualLayout>
              </c15:layout>
            </c:ext>
          </c:extLst>
        </c:dLbl>
      </c:pivotFmt>
      <c:pivotFmt>
        <c:idx val="12"/>
        <c:spPr>
          <a:solidFill>
            <a:schemeClr val="accent1"/>
          </a:solidFill>
          <a:ln>
            <a:noFill/>
          </a:ln>
          <a:effectLst/>
          <a:sp3d contourW="25400">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ontourW="25400">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2956036745406824"/>
                </c:manualLayout>
              </c15:layout>
            </c:ext>
          </c:extLst>
        </c:dLbl>
      </c:pivotFmt>
      <c:pivotFmt>
        <c:idx val="15"/>
        <c:spPr>
          <a:solidFill>
            <a:schemeClr val="accent1"/>
          </a:solidFill>
          <a:ln>
            <a:noFill/>
          </a:ln>
          <a:effectLst/>
          <a:sp3d contourW="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1104184893554971"/>
                </c:manualLayout>
              </c15:layout>
            </c:ext>
          </c:extLst>
        </c:dLbl>
      </c:pivotFmt>
      <c:pivotFmt>
        <c:idx val="17"/>
        <c:spPr>
          <a:solidFill>
            <a:schemeClr val="accent1"/>
          </a:solidFill>
          <a:ln>
            <a:noFill/>
          </a:ln>
          <a:effectLst/>
          <a:sp3d contourW="25400">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ontourW="25400">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2956036745406824"/>
                </c:manualLayout>
              </c15:layout>
            </c:ext>
          </c:extLst>
        </c:dLbl>
      </c:pivotFmt>
      <c:pivotFmt>
        <c:idx val="20"/>
        <c:spPr>
          <a:solidFill>
            <a:schemeClr val="accent1"/>
          </a:solidFill>
          <a:ln>
            <a:noFill/>
          </a:ln>
          <a:effectLst/>
          <a:sp3d contourW="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1104184893554971"/>
                </c:manualLayout>
              </c15:layout>
            </c:ext>
          </c:extLst>
        </c:dLbl>
      </c:pivotFmt>
      <c:pivotFmt>
        <c:idx val="22"/>
        <c:spPr>
          <a:solidFill>
            <a:schemeClr val="accent1"/>
          </a:solidFill>
          <a:ln>
            <a:noFill/>
          </a:ln>
          <a:effectLst/>
          <a:sp3d contourW="25400">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ontourW="25400">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2956036745406824"/>
                </c:manualLayout>
              </c15:layout>
            </c:ext>
          </c:extLst>
        </c:dLbl>
      </c:pivotFmt>
      <c:pivotFmt>
        <c:idx val="25"/>
        <c:spPr>
          <a:solidFill>
            <a:schemeClr val="accent1"/>
          </a:solidFill>
          <a:ln>
            <a:noFill/>
          </a:ln>
          <a:effectLst/>
          <a:sp3d contourW="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1104184893554971"/>
                </c:manualLayout>
              </c15:layout>
            </c:ext>
          </c:extLst>
        </c:dLbl>
      </c:pivotFmt>
      <c:pivotFmt>
        <c:idx val="27"/>
        <c:spPr>
          <a:solidFill>
            <a:schemeClr val="accent1"/>
          </a:solidFill>
          <a:ln>
            <a:noFill/>
          </a:ln>
          <a:effectLst/>
          <a:sp3d contourW="25400">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ontourW="25400">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ontourW="25400">
            <a:contourClr>
              <a:schemeClr val="accent2"/>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66666666666661E-2"/>
                  <c:h val="0.12956036745406824"/>
                </c:manualLayout>
              </c15:layout>
            </c:ext>
          </c:extLst>
        </c:dLbl>
      </c:pivotFmt>
      <c:pivotFmt>
        <c:idx val="30"/>
        <c:spPr>
          <a:solidFill>
            <a:schemeClr val="accent1"/>
          </a:solidFill>
          <a:ln>
            <a:noFill/>
          </a:ln>
          <a:effectLst/>
          <a:sp3d>
            <a:contourClr>
              <a:schemeClr val="accent2"/>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a:contourClr>
              <a:schemeClr val="accent2"/>
            </a:contourClr>
          </a:sp3d>
        </c:spPr>
        <c:dLbl>
          <c:idx val="0"/>
          <c:tx>
            <c:rich>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fld id="{9009BCB9-A924-439E-8433-DD7CB740B455}" type="VALUE">
                  <a:rPr lang="en-US"/>
                  <a:pPr>
                    <a:defRPr>
                      <a:solidFill>
                        <a:schemeClr val="accent1">
                          <a:lumMod val="75000"/>
                        </a:schemeClr>
                      </a:solidFill>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3387193953771"/>
                  <c:h val="0.11104197555896306"/>
                </c:manualLayout>
              </c15:layout>
              <c15:dlblFieldTable/>
              <c15:showDataLabelsRange val="0"/>
            </c:ext>
          </c:extLst>
        </c:dLbl>
      </c:pivotFmt>
      <c:pivotFmt>
        <c:idx val="32"/>
        <c:spPr>
          <a:solidFill>
            <a:schemeClr val="accent1"/>
          </a:solidFill>
          <a:ln>
            <a:noFill/>
          </a:ln>
          <a:effectLst/>
          <a:sp3d>
            <a:contourClr>
              <a:schemeClr val="accent2"/>
            </a:contourClr>
          </a:sp3d>
        </c:spPr>
        <c:dLbl>
          <c:idx val="0"/>
          <c:layout>
            <c:manualLayout>
              <c:x val="2.7777777777777779E-3"/>
              <c:y val="-9.2592592592592629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a:contourClr>
              <a:schemeClr val="accent2"/>
            </a:contourClr>
          </a:sp3d>
        </c:spPr>
        <c:dLbl>
          <c:idx val="0"/>
          <c:layout>
            <c:manualLayout>
              <c:x val="2.7777777777777779E-3"/>
              <c:y val="-7.407407407407407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a:contourClr>
              <a:schemeClr val="accent2"/>
            </a:contourClr>
          </a:sp3d>
        </c:spP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08366115319471"/>
                  <c:h val="0.12956030633667465"/>
                </c:manualLayout>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tables'!$G$12</c:f>
              <c:strCache>
                <c:ptCount val="1"/>
                <c:pt idx="0">
                  <c:v>Total</c:v>
                </c:pt>
              </c:strCache>
            </c:strRef>
          </c:tx>
          <c:spPr>
            <a:solidFill>
              <a:schemeClr val="accent1"/>
            </a:solidFill>
            <a:ln>
              <a:noFill/>
            </a:ln>
            <a:effectLst/>
            <a:sp3d>
              <a:contourClr>
                <a:schemeClr val="accent2"/>
              </a:contourClr>
            </a:sp3d>
          </c:spPr>
          <c:invertIfNegative val="0"/>
          <c:dPt>
            <c:idx val="0"/>
            <c:invertIfNegative val="0"/>
            <c:bubble3D val="0"/>
            <c:spPr>
              <a:solidFill>
                <a:schemeClr val="accent1"/>
              </a:solidFill>
              <a:ln>
                <a:noFill/>
              </a:ln>
              <a:effectLst/>
              <a:sp3d>
                <a:contourClr>
                  <a:schemeClr val="accent2"/>
                </a:contourClr>
              </a:sp3d>
            </c:spPr>
            <c:extLst>
              <c:ext xmlns:c16="http://schemas.microsoft.com/office/drawing/2014/chart" uri="{C3380CC4-5D6E-409C-BE32-E72D297353CC}">
                <c16:uniqueId val="{00000001-7386-46C9-B87B-F9FE0957B423}"/>
              </c:ext>
            </c:extLst>
          </c:dPt>
          <c:dPt>
            <c:idx val="1"/>
            <c:invertIfNegative val="0"/>
            <c:bubble3D val="0"/>
            <c:spPr>
              <a:solidFill>
                <a:schemeClr val="accent1"/>
              </a:solidFill>
              <a:ln>
                <a:noFill/>
              </a:ln>
              <a:effectLst/>
              <a:sp3d>
                <a:contourClr>
                  <a:schemeClr val="accent2"/>
                </a:contourClr>
              </a:sp3d>
            </c:spPr>
            <c:extLst>
              <c:ext xmlns:c16="http://schemas.microsoft.com/office/drawing/2014/chart" uri="{C3380CC4-5D6E-409C-BE32-E72D297353CC}">
                <c16:uniqueId val="{00000003-7386-46C9-B87B-F9FE0957B423}"/>
              </c:ext>
            </c:extLst>
          </c:dPt>
          <c:dPt>
            <c:idx val="2"/>
            <c:invertIfNegative val="0"/>
            <c:bubble3D val="0"/>
            <c:spPr>
              <a:solidFill>
                <a:schemeClr val="accent1"/>
              </a:solidFill>
              <a:ln>
                <a:noFill/>
              </a:ln>
              <a:effectLst/>
              <a:sp3d>
                <a:contourClr>
                  <a:schemeClr val="accent2"/>
                </a:contourClr>
              </a:sp3d>
            </c:spPr>
            <c:extLst>
              <c:ext xmlns:c16="http://schemas.microsoft.com/office/drawing/2014/chart" uri="{C3380CC4-5D6E-409C-BE32-E72D297353CC}">
                <c16:uniqueId val="{00000005-7386-46C9-B87B-F9FE0957B423}"/>
              </c:ext>
            </c:extLst>
          </c:dPt>
          <c:dPt>
            <c:idx val="3"/>
            <c:invertIfNegative val="0"/>
            <c:bubble3D val="0"/>
            <c:spPr>
              <a:solidFill>
                <a:schemeClr val="accent1"/>
              </a:solidFill>
              <a:ln>
                <a:noFill/>
              </a:ln>
              <a:effectLst/>
              <a:sp3d>
                <a:contourClr>
                  <a:schemeClr val="accent2"/>
                </a:contourClr>
              </a:sp3d>
            </c:spPr>
            <c:extLst>
              <c:ext xmlns:c16="http://schemas.microsoft.com/office/drawing/2014/chart" uri="{C3380CC4-5D6E-409C-BE32-E72D297353CC}">
                <c16:uniqueId val="{00000007-7386-46C9-B87B-F9FE0957B423}"/>
              </c:ext>
            </c:extLst>
          </c:dPt>
          <c:dLbls>
            <c:dLbl>
              <c:idx val="0"/>
              <c:tx>
                <c:rich>
                  <a:bodyPr/>
                  <a:lstStyle/>
                  <a:p>
                    <a:fld id="{9009BCB9-A924-439E-8433-DD7CB740B455}"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193387193953771"/>
                      <c:h val="0.11104197555896306"/>
                    </c:manualLayout>
                  </c15:layout>
                  <c15:dlblFieldTable/>
                  <c15:showDataLabelsRange val="0"/>
                </c:ext>
                <c:ext xmlns:c16="http://schemas.microsoft.com/office/drawing/2014/chart" uri="{C3380CC4-5D6E-409C-BE32-E72D297353CC}">
                  <c16:uniqueId val="{00000001-7386-46C9-B87B-F9FE0957B423}"/>
                </c:ext>
              </c:extLst>
            </c:dLbl>
            <c:dLbl>
              <c:idx val="1"/>
              <c:layout>
                <c:manualLayout>
                  <c:x val="2.7777777777777779E-3"/>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86-46C9-B87B-F9FE0957B423}"/>
                </c:ext>
              </c:extLst>
            </c:dLbl>
            <c:dLbl>
              <c:idx val="2"/>
              <c:layout>
                <c:manualLayout>
                  <c:x val="2.7777777777777779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86-46C9-B87B-F9FE0957B423}"/>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4008366115319471"/>
                      <c:h val="0.12956030633667465"/>
                    </c:manualLayout>
                  </c15:layout>
                </c:ext>
                <c:ext xmlns:c16="http://schemas.microsoft.com/office/drawing/2014/chart" uri="{C3380CC4-5D6E-409C-BE32-E72D297353CC}">
                  <c16:uniqueId val="{00000007-7386-46C9-B87B-F9FE0957B423}"/>
                </c:ext>
              </c:extLst>
            </c:dLbl>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tables'!$F$13:$F$17</c:f>
              <c:strCache>
                <c:ptCount val="4"/>
                <c:pt idx="0">
                  <c:v>Card</c:v>
                </c:pt>
                <c:pt idx="1">
                  <c:v>Cash</c:v>
                </c:pt>
                <c:pt idx="2">
                  <c:v>UPI</c:v>
                </c:pt>
                <c:pt idx="3">
                  <c:v>Wallet</c:v>
                </c:pt>
              </c:strCache>
            </c:strRef>
          </c:cat>
          <c:val>
            <c:numRef>
              <c:f>'Pivot tables'!$G$13:$G$17</c:f>
              <c:numCache>
                <c:formatCode>General</c:formatCode>
                <c:ptCount val="4"/>
                <c:pt idx="0">
                  <c:v>147431</c:v>
                </c:pt>
                <c:pt idx="1">
                  <c:v>146388</c:v>
                </c:pt>
                <c:pt idx="2">
                  <c:v>158000</c:v>
                </c:pt>
                <c:pt idx="3">
                  <c:v>142177</c:v>
                </c:pt>
              </c:numCache>
            </c:numRef>
          </c:val>
          <c:extLst>
            <c:ext xmlns:c16="http://schemas.microsoft.com/office/drawing/2014/chart" uri="{C3380CC4-5D6E-409C-BE32-E72D297353CC}">
              <c16:uniqueId val="{00000008-7386-46C9-B87B-F9FE0957B423}"/>
            </c:ext>
          </c:extLst>
        </c:ser>
        <c:dLbls>
          <c:showLegendKey val="0"/>
          <c:showVal val="1"/>
          <c:showCatName val="0"/>
          <c:showSerName val="0"/>
          <c:showPercent val="0"/>
          <c:showBubbleSize val="0"/>
        </c:dLbls>
        <c:gapWidth val="150"/>
        <c:shape val="box"/>
        <c:axId val="167714543"/>
        <c:axId val="167715023"/>
        <c:axId val="0"/>
      </c:bar3DChart>
      <c:catAx>
        <c:axId val="167714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67715023"/>
        <c:crosses val="autoZero"/>
        <c:auto val="1"/>
        <c:lblAlgn val="ctr"/>
        <c:lblOffset val="100"/>
        <c:noMultiLvlLbl val="0"/>
      </c:catAx>
      <c:valAx>
        <c:axId val="167715023"/>
        <c:scaling>
          <c:orientation val="minMax"/>
        </c:scaling>
        <c:delete val="1"/>
        <c:axPos val="l"/>
        <c:numFmt formatCode="General" sourceLinked="1"/>
        <c:majorTickMark val="out"/>
        <c:minorTickMark val="none"/>
        <c:tickLblPos val="nextTo"/>
        <c:crossAx val="1677145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5">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[Restaurant_Sales_Dataset_500_Rows.xlsx]Pivot tables!PivotTable5</c:name>
    <c:fmtId val="5"/>
  </c:pivotSource>
  <c:chart>
    <c:title>
      <c:tx>
        <c:rich>
          <a:bodyPr rot="0" spcFirstLastPara="1" vertOverflow="ellipsis" vert="horz" wrap="square" anchor="ctr" anchorCtr="1"/>
          <a:lstStyle/>
          <a:p>
            <a:pPr>
              <a:defRPr sz="1500" b="0" i="0" u="none" strike="noStrike" kern="1200" cap="all" spc="100" normalizeH="0" baseline="0">
                <a:solidFill>
                  <a:schemeClr val="accent1">
                    <a:lumMod val="75000"/>
                  </a:schemeClr>
                </a:solidFill>
                <a:latin typeface="+mn-lt"/>
                <a:ea typeface="+mn-ea"/>
                <a:cs typeface="+mn-cs"/>
              </a:defRPr>
            </a:pPr>
            <a:r>
              <a:rPr lang="en-IN" b="0">
                <a:solidFill>
                  <a:schemeClr val="accent1">
                    <a:lumMod val="75000"/>
                  </a:schemeClr>
                </a:solidFill>
              </a:rPr>
              <a:t>👥 </a:t>
            </a:r>
            <a:r>
              <a:rPr lang="en-IN" b="1">
                <a:solidFill>
                  <a:schemeClr val="accent1">
                    <a:lumMod val="75000"/>
                  </a:schemeClr>
                </a:solidFill>
              </a:rPr>
              <a:t>Customer</a:t>
            </a:r>
            <a:r>
              <a:rPr lang="en-IN" b="0">
                <a:solidFill>
                  <a:schemeClr val="accent1">
                    <a:lumMod val="75000"/>
                  </a:schemeClr>
                </a:solidFill>
              </a:rPr>
              <a:t> </a:t>
            </a:r>
            <a:r>
              <a:rPr lang="en-IN" b="1">
                <a:solidFill>
                  <a:schemeClr val="accent1">
                    <a:lumMod val="75000"/>
                  </a:schemeClr>
                </a:solidFill>
              </a:rPr>
              <a:t>Order</a:t>
            </a:r>
            <a:r>
              <a:rPr lang="en-IN" b="0">
                <a:solidFill>
                  <a:schemeClr val="accent1">
                    <a:lumMod val="75000"/>
                  </a:schemeClr>
                </a:solidFill>
              </a:rPr>
              <a:t> </a:t>
            </a:r>
            <a:r>
              <a:rPr lang="en-IN" b="1">
                <a:solidFill>
                  <a:schemeClr val="accent1">
                    <a:lumMod val="75000"/>
                  </a:schemeClr>
                </a:solidFill>
              </a:rPr>
              <a:t>Preference</a:t>
            </a:r>
          </a:p>
        </c:rich>
      </c:tx>
      <c:layout>
        <c:manualLayout>
          <c:xMode val="edge"/>
          <c:yMode val="edge"/>
          <c:x val="0.1302357666102929"/>
          <c:y val="3.1606165608012202E-2"/>
        </c:manualLayout>
      </c:layout>
      <c:overlay val="0"/>
      <c:spPr>
        <a:noFill/>
        <a:ln>
          <a:noFill/>
        </a:ln>
        <a:effectLst/>
      </c:spPr>
      <c:txPr>
        <a:bodyPr rot="0" spcFirstLastPara="1" vertOverflow="ellipsis" vert="horz" wrap="square" anchor="ctr" anchorCtr="1"/>
        <a:lstStyle/>
        <a:p>
          <a:pPr>
            <a:defRPr sz="1500" b="0" i="0" u="none" strike="noStrike" kern="1200" cap="all" spc="100" normalizeH="0" baseline="0">
              <a:solidFill>
                <a:schemeClr val="accent1">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accent1">
                <a:lumMod val="20000"/>
                <a:lumOff val="80000"/>
              </a:schemeClr>
            </a:solidFill>
          </a:ln>
          <a:effectLst/>
        </c:spPr>
        <c:dLbl>
          <c:idx val="0"/>
          <c:layout>
            <c:manualLayout>
              <c:x val="0.11241312324372936"/>
              <c:y val="-8.4283108288032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accent1">
                <a:lumMod val="20000"/>
                <a:lumOff val="80000"/>
              </a:schemeClr>
            </a:solidFill>
          </a:ln>
          <a:effectLst/>
        </c:spPr>
        <c:dLbl>
          <c:idx val="0"/>
          <c:layout>
            <c:manualLayout>
              <c:x val="0.15363126843309671"/>
              <c:y val="8.9550802556034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accent1">
                <a:lumMod val="20000"/>
                <a:lumOff val="80000"/>
              </a:schemeClr>
            </a:solidFill>
          </a:ln>
          <a:effectLst/>
        </c:spPr>
        <c:dLbl>
          <c:idx val="0"/>
          <c:layout>
            <c:manualLayout>
              <c:x val="-0.1536312684330968"/>
              <c:y val="-2.6338471340010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tables'!$Q$4</c:f>
              <c:strCache>
                <c:ptCount val="1"/>
                <c:pt idx="0">
                  <c:v>Total</c:v>
                </c:pt>
              </c:strCache>
            </c:strRef>
          </c:tx>
          <c:spPr>
            <a:solidFill>
              <a:schemeClr val="lt1"/>
            </a:solidFill>
            <a:ln w="19050">
              <a:solidFill>
                <a:schemeClr val="accent1">
                  <a:lumMod val="20000"/>
                  <a:lumOff val="80000"/>
                </a:schemeClr>
              </a:solidFill>
            </a:ln>
            <a:effectLst/>
          </c:spPr>
          <c:dPt>
            <c:idx val="0"/>
            <c:bubble3D val="0"/>
            <c:spPr>
              <a:solidFill>
                <a:schemeClr val="accent1">
                  <a:lumMod val="75000"/>
                </a:schemeClr>
              </a:solidFill>
              <a:ln w="19050">
                <a:solidFill>
                  <a:schemeClr val="accent1">
                    <a:lumMod val="20000"/>
                    <a:lumOff val="80000"/>
                  </a:schemeClr>
                </a:solidFill>
              </a:ln>
              <a:effectLst/>
            </c:spPr>
            <c:extLst>
              <c:ext xmlns:c16="http://schemas.microsoft.com/office/drawing/2014/chart" uri="{C3380CC4-5D6E-409C-BE32-E72D297353CC}">
                <c16:uniqueId val="{00000001-4BBE-45F3-8038-66C4AE838161}"/>
              </c:ext>
            </c:extLst>
          </c:dPt>
          <c:dPt>
            <c:idx val="1"/>
            <c:bubble3D val="0"/>
            <c:spPr>
              <a:solidFill>
                <a:schemeClr val="accent1">
                  <a:lumMod val="75000"/>
                </a:schemeClr>
              </a:solidFill>
              <a:ln w="19050">
                <a:solidFill>
                  <a:schemeClr val="accent1">
                    <a:lumMod val="20000"/>
                    <a:lumOff val="80000"/>
                  </a:schemeClr>
                </a:solidFill>
              </a:ln>
              <a:effectLst/>
            </c:spPr>
            <c:extLst>
              <c:ext xmlns:c16="http://schemas.microsoft.com/office/drawing/2014/chart" uri="{C3380CC4-5D6E-409C-BE32-E72D297353CC}">
                <c16:uniqueId val="{00000003-4BBE-45F3-8038-66C4AE838161}"/>
              </c:ext>
            </c:extLst>
          </c:dPt>
          <c:dPt>
            <c:idx val="2"/>
            <c:bubble3D val="0"/>
            <c:spPr>
              <a:solidFill>
                <a:schemeClr val="accent1">
                  <a:lumMod val="75000"/>
                </a:schemeClr>
              </a:solidFill>
              <a:ln w="19050">
                <a:solidFill>
                  <a:schemeClr val="accent1">
                    <a:lumMod val="20000"/>
                    <a:lumOff val="80000"/>
                  </a:schemeClr>
                </a:solidFill>
              </a:ln>
              <a:effectLst/>
            </c:spPr>
            <c:extLst>
              <c:ext xmlns:c16="http://schemas.microsoft.com/office/drawing/2014/chart" uri="{C3380CC4-5D6E-409C-BE32-E72D297353CC}">
                <c16:uniqueId val="{00000005-4BBE-45F3-8038-66C4AE838161}"/>
              </c:ext>
            </c:extLst>
          </c:dPt>
          <c:dLbls>
            <c:dLbl>
              <c:idx val="0"/>
              <c:layout>
                <c:manualLayout>
                  <c:x val="0.11241312324372936"/>
                  <c:y val="-8.4283108288032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BE-45F3-8038-66C4AE838161}"/>
                </c:ext>
              </c:extLst>
            </c:dLbl>
            <c:dLbl>
              <c:idx val="1"/>
              <c:layout>
                <c:manualLayout>
                  <c:x val="0.15363126843309671"/>
                  <c:y val="8.95508025560344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BBE-45F3-8038-66C4AE838161}"/>
                </c:ext>
              </c:extLst>
            </c:dLbl>
            <c:dLbl>
              <c:idx val="2"/>
              <c:layout>
                <c:manualLayout>
                  <c:x val="-0.1536312684330968"/>
                  <c:y val="-2.6338471340010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BBE-45F3-8038-66C4AE8381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tables'!$P$5:$P$8</c:f>
              <c:strCache>
                <c:ptCount val="3"/>
                <c:pt idx="0">
                  <c:v>Delivery</c:v>
                </c:pt>
                <c:pt idx="1">
                  <c:v>Dine-in</c:v>
                </c:pt>
                <c:pt idx="2">
                  <c:v>Takeaway</c:v>
                </c:pt>
              </c:strCache>
            </c:strRef>
          </c:cat>
          <c:val>
            <c:numRef>
              <c:f>'Pivot tables'!$Q$5:$Q$8</c:f>
              <c:numCache>
                <c:formatCode>_ [$₹-4009]\ * #,##0.00_ ;_ [$₹-4009]\ * \-#,##0.00_ ;_ [$₹-4009]\ * "-"??_ ;_ @_ </c:formatCode>
                <c:ptCount val="3"/>
                <c:pt idx="0">
                  <c:v>183026</c:v>
                </c:pt>
                <c:pt idx="1">
                  <c:v>226991</c:v>
                </c:pt>
                <c:pt idx="2">
                  <c:v>183979</c:v>
                </c:pt>
              </c:numCache>
            </c:numRef>
          </c:val>
          <c:extLst>
            <c:ext xmlns:c16="http://schemas.microsoft.com/office/drawing/2014/chart" uri="{C3380CC4-5D6E-409C-BE32-E72D297353CC}">
              <c16:uniqueId val="{00000006-4BBE-45F3-8038-66C4AE83816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[Restaurant_Sales_Dataset_500_Rows.xlsx]Pivot tables!PivotTable6</c:name>
    <c:fmtId val="44"/>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IN">
                <a:solidFill>
                  <a:schemeClr val="accent1">
                    <a:lumMod val="75000"/>
                  </a:schemeClr>
                </a:solidFill>
              </a:rPr>
              <a:t>🍽️ </a:t>
            </a:r>
            <a:r>
              <a:rPr lang="en-IN" b="1">
                <a:solidFill>
                  <a:schemeClr val="accent1">
                    <a:lumMod val="75000"/>
                  </a:schemeClr>
                </a:solidFill>
              </a:rPr>
              <a:t>Restaurant</a:t>
            </a:r>
            <a:r>
              <a:rPr lang="en-IN">
                <a:solidFill>
                  <a:schemeClr val="accent1">
                    <a:lumMod val="75000"/>
                  </a:schemeClr>
                </a:solidFill>
              </a:rPr>
              <a:t> </a:t>
            </a:r>
            <a:r>
              <a:rPr lang="en-IN" b="1">
                <a:solidFill>
                  <a:schemeClr val="accent1">
                    <a:lumMod val="75000"/>
                  </a:schemeClr>
                </a:solidFill>
              </a:rPr>
              <a:t>Product</a:t>
            </a:r>
            <a:r>
              <a:rPr lang="en-IN">
                <a:solidFill>
                  <a:schemeClr val="accent1">
                    <a:lumMod val="75000"/>
                  </a:schemeClr>
                </a:solidFill>
              </a:rPr>
              <a:t> </a:t>
            </a:r>
            <a:r>
              <a:rPr lang="en-IN" b="1">
                <a:solidFill>
                  <a:schemeClr val="accent1">
                    <a:lumMod val="75000"/>
                  </a:schemeClr>
                </a:solidFill>
              </a:rPr>
              <a:t>Performance</a:t>
            </a:r>
            <a:r>
              <a:rPr lang="en-IN">
                <a:solidFill>
                  <a:schemeClr val="accent1">
                    <a:lumMod val="75000"/>
                  </a:schemeClr>
                </a:solidFill>
              </a:rPr>
              <a:t> </a:t>
            </a:r>
            <a:r>
              <a:rPr lang="en-IN" b="1">
                <a:solidFill>
                  <a:schemeClr val="accent1">
                    <a:lumMod val="75000"/>
                  </a:schemeClr>
                </a:solidFill>
              </a:rPr>
              <a:t>Analysis</a:t>
            </a:r>
            <a:r>
              <a:rPr lang="en-IN">
                <a:solidFill>
                  <a:schemeClr val="accent1">
                    <a:lumMod val="75000"/>
                  </a:schemeClr>
                </a:solidFill>
              </a:rPr>
              <a:t> ⭐</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674197384066587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418945699563996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473642489100281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41894569956401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3D11-46D6-AFD0-62D0CC5DB0EC}"/>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3D11-46D6-AFD0-62D0CC5DB0EC}"/>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3D11-46D6-AFD0-62D0CC5DB0EC}"/>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3D11-46D6-AFD0-62D0CC5DB0EC}"/>
              </c:ext>
            </c:extLst>
          </c:dPt>
          <c:dLbls>
            <c:dLbl>
              <c:idx val="1"/>
              <c:layout>
                <c:manualLayout>
                  <c:x val="-4.1418945699563996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11-46D6-AFD0-62D0CC5DB0EC}"/>
                </c:ext>
              </c:extLst>
            </c:dLbl>
            <c:dLbl>
              <c:idx val="5"/>
              <c:layout>
                <c:manualLayout>
                  <c:x val="-3.5473642489100281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11-46D6-AFD0-62D0CC5DB0EC}"/>
                </c:ext>
              </c:extLst>
            </c:dLbl>
            <c:dLbl>
              <c:idx val="6"/>
              <c:layout>
                <c:manualLayout>
                  <c:x val="-4.141894569956401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11-46D6-AFD0-62D0CC5DB0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tables'!$M$4:$M$13</c:f>
              <c:strCache>
                <c:ptCount val="9"/>
                <c:pt idx="0">
                  <c:v>Biryani</c:v>
                </c:pt>
                <c:pt idx="1">
                  <c:v>Burger</c:v>
                </c:pt>
                <c:pt idx="2">
                  <c:v>Cake</c:v>
                </c:pt>
                <c:pt idx="3">
                  <c:v>Coffee</c:v>
                </c:pt>
                <c:pt idx="4">
                  <c:v>Juice</c:v>
                </c:pt>
                <c:pt idx="5">
                  <c:v>Momos</c:v>
                </c:pt>
                <c:pt idx="6">
                  <c:v>Noodles</c:v>
                </c:pt>
                <c:pt idx="7">
                  <c:v>Pasta</c:v>
                </c:pt>
                <c:pt idx="8">
                  <c:v>Pizza</c:v>
                </c:pt>
              </c:strCache>
            </c:strRef>
          </c:cat>
          <c:val>
            <c:numRef>
              <c:f>'Pivot tables'!$N$4:$N$13</c:f>
              <c:numCache>
                <c:formatCode>_ [$₹-4009]\ * #,##0.00_ ;_ [$₹-4009]\ * \-#,##0.00_ ;_ [$₹-4009]\ * "-"??_ ;_ @_ </c:formatCode>
                <c:ptCount val="9"/>
                <c:pt idx="0">
                  <c:v>61772</c:v>
                </c:pt>
                <c:pt idx="1">
                  <c:v>47314</c:v>
                </c:pt>
                <c:pt idx="2">
                  <c:v>63886</c:v>
                </c:pt>
                <c:pt idx="3">
                  <c:v>53369</c:v>
                </c:pt>
                <c:pt idx="4">
                  <c:v>61255</c:v>
                </c:pt>
                <c:pt idx="5">
                  <c:v>44699</c:v>
                </c:pt>
                <c:pt idx="6">
                  <c:v>38547</c:v>
                </c:pt>
                <c:pt idx="7">
                  <c:v>54384</c:v>
                </c:pt>
                <c:pt idx="8">
                  <c:v>59145</c:v>
                </c:pt>
              </c:numCache>
            </c:numRef>
          </c:val>
          <c:smooth val="0"/>
          <c:extLst>
            <c:ext xmlns:c16="http://schemas.microsoft.com/office/drawing/2014/chart" uri="{C3380CC4-5D6E-409C-BE32-E72D297353CC}">
              <c16:uniqueId val="{00000000-3D11-46D6-AFD0-62D0CC5DB0EC}"/>
            </c:ext>
          </c:extLst>
        </c:ser>
        <c:dLbls>
          <c:dLblPos val="t"/>
          <c:showLegendKey val="0"/>
          <c:showVal val="1"/>
          <c:showCatName val="0"/>
          <c:showSerName val="0"/>
          <c:showPercent val="0"/>
          <c:showBubbleSize val="0"/>
        </c:dLbls>
        <c:marker val="1"/>
        <c:smooth val="0"/>
        <c:axId val="716641424"/>
        <c:axId val="694491408"/>
      </c:lineChart>
      <c:catAx>
        <c:axId val="71664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94491408"/>
        <c:crosses val="autoZero"/>
        <c:auto val="1"/>
        <c:lblAlgn val="ctr"/>
        <c:lblOffset val="100"/>
        <c:noMultiLvlLbl val="0"/>
      </c:catAx>
      <c:valAx>
        <c:axId val="694491408"/>
        <c:scaling>
          <c:orientation val="minMax"/>
        </c:scaling>
        <c:delete val="1"/>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crossAx val="7166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[Restaurant_Sales_Dataset_500_Rows.xlsx]Pivot tables!PivotTable8</c:name>
    <c:fmtId val="13"/>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IN" sz="1400" b="0" i="0" u="none" strike="noStrike" baseline="0">
                <a:solidFill>
                  <a:schemeClr val="accent1">
                    <a:lumMod val="75000"/>
                  </a:schemeClr>
                </a:solidFill>
              </a:rPr>
              <a:t>📈 </a:t>
            </a:r>
            <a:r>
              <a:rPr lang="en-IN" sz="1400" b="1" i="0" u="none" strike="noStrike" baseline="0">
                <a:solidFill>
                  <a:schemeClr val="accent1">
                    <a:lumMod val="75000"/>
                  </a:schemeClr>
                </a:solidFill>
              </a:rPr>
              <a:t>Monthly Sales Trend</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tables'!$N$18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tables'!$M$19:$M$31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tables'!$N$19:$N$31</c:f>
              <c:numCache>
                <c:formatCode>_ [$₹-4009]\ * #,##0.00_ ;_ [$₹-4009]\ * \-#,##0.00_ ;_ [$₹-4009]\ * "-"??_ ;_ @_ </c:formatCode>
                <c:ptCount val="12"/>
                <c:pt idx="0">
                  <c:v>35537</c:v>
                </c:pt>
                <c:pt idx="1">
                  <c:v>48042</c:v>
                </c:pt>
                <c:pt idx="2">
                  <c:v>46146</c:v>
                </c:pt>
                <c:pt idx="3">
                  <c:v>46602</c:v>
                </c:pt>
                <c:pt idx="4">
                  <c:v>63345</c:v>
                </c:pt>
                <c:pt idx="5">
                  <c:v>44157</c:v>
                </c:pt>
                <c:pt idx="6">
                  <c:v>49495</c:v>
                </c:pt>
                <c:pt idx="7">
                  <c:v>56730</c:v>
                </c:pt>
                <c:pt idx="8">
                  <c:v>52895</c:v>
                </c:pt>
                <c:pt idx="9">
                  <c:v>40412</c:v>
                </c:pt>
                <c:pt idx="10">
                  <c:v>64990</c:v>
                </c:pt>
                <c:pt idx="11">
                  <c:v>45645</c:v>
                </c:pt>
              </c:numCache>
            </c:numRef>
          </c:val>
          <c:smooth val="0"/>
          <c:extLst>
            <c:ext xmlns:c16="http://schemas.microsoft.com/office/drawing/2014/chart" uri="{C3380CC4-5D6E-409C-BE32-E72D297353CC}">
              <c16:uniqueId val="{00000000-ADEB-4693-97F6-95FCA49D2028}"/>
            </c:ext>
          </c:extLst>
        </c:ser>
        <c:dLbls>
          <c:dLblPos val="t"/>
          <c:showLegendKey val="0"/>
          <c:showVal val="1"/>
          <c:showCatName val="0"/>
          <c:showSerName val="0"/>
          <c:showPercent val="0"/>
          <c:showBubbleSize val="0"/>
        </c:dLbls>
        <c:smooth val="0"/>
        <c:axId val="264973216"/>
        <c:axId val="67411600"/>
      </c:lineChart>
      <c:catAx>
        <c:axId val="26497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7411600"/>
        <c:crosses val="autoZero"/>
        <c:auto val="1"/>
        <c:lblAlgn val="ctr"/>
        <c:lblOffset val="100"/>
        <c:noMultiLvlLbl val="0"/>
      </c:catAx>
      <c:valAx>
        <c:axId val="67411600"/>
        <c:scaling>
          <c:orientation val="minMax"/>
        </c:scaling>
        <c:delete val="1"/>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crossAx val="26497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[Restaurant_Sales_Dataset_500_Rows.xlsx]Pivot tables!PivotTable7</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accent1">
                    <a:lumMod val="75000"/>
                  </a:schemeClr>
                </a:solidFill>
              </a:rPr>
              <a:t>City</a:t>
            </a:r>
            <a:r>
              <a:rPr lang="en-IN" sz="1600" b="1" i="0" u="none" strike="noStrike" baseline="0"/>
              <a:t> </a:t>
            </a:r>
            <a:r>
              <a:rPr lang="en-IN" sz="1600" b="1" i="0" u="none" strike="noStrike" baseline="0">
                <a:solidFill>
                  <a:schemeClr val="accent1">
                    <a:lumMod val="75000"/>
                  </a:schemeClr>
                </a:solidFill>
              </a:rPr>
              <a:t>Performance </a:t>
            </a:r>
            <a:r>
              <a:rPr lang="en-IN" sz="1600" b="1" i="0" u="none" strike="noStrike" baseline="0"/>
              <a:t>📍</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tables'!$J$10:$J$15</c:f>
              <c:strCache>
                <c:ptCount val="5"/>
                <c:pt idx="0">
                  <c:v>Bangalore</c:v>
                </c:pt>
                <c:pt idx="1">
                  <c:v>Delhi</c:v>
                </c:pt>
                <c:pt idx="2">
                  <c:v>Hyderabad</c:v>
                </c:pt>
                <c:pt idx="3">
                  <c:v>Mumbai</c:v>
                </c:pt>
                <c:pt idx="4">
                  <c:v>Pune</c:v>
                </c:pt>
              </c:strCache>
            </c:strRef>
          </c:cat>
          <c:val>
            <c:numRef>
              <c:f>'Pivot tables'!$K$10:$K$15</c:f>
              <c:numCache>
                <c:formatCode>_ [$₹-4009]\ * #,##0.00_ ;_ [$₹-4009]\ * \-#,##0.00_ ;_ [$₹-4009]\ * "-"??_ ;_ @_ </c:formatCode>
                <c:ptCount val="5"/>
                <c:pt idx="0">
                  <c:v>124690</c:v>
                </c:pt>
                <c:pt idx="1">
                  <c:v>123499</c:v>
                </c:pt>
                <c:pt idx="2">
                  <c:v>123520</c:v>
                </c:pt>
                <c:pt idx="3">
                  <c:v>96317</c:v>
                </c:pt>
                <c:pt idx="4">
                  <c:v>125970</c:v>
                </c:pt>
              </c:numCache>
            </c:numRef>
          </c:val>
          <c:extLst>
            <c:ext xmlns:c16="http://schemas.microsoft.com/office/drawing/2014/chart" uri="{C3380CC4-5D6E-409C-BE32-E72D297353CC}">
              <c16:uniqueId val="{00000000-EDE2-46C0-B412-B66B43502439}"/>
            </c:ext>
          </c:extLst>
        </c:ser>
        <c:dLbls>
          <c:dLblPos val="outEnd"/>
          <c:showLegendKey val="0"/>
          <c:showVal val="1"/>
          <c:showCatName val="0"/>
          <c:showSerName val="0"/>
          <c:showPercent val="0"/>
          <c:showBubbleSize val="0"/>
        </c:dLbls>
        <c:gapWidth val="115"/>
        <c:overlap val="-20"/>
        <c:axId val="13056463"/>
        <c:axId val="13057423"/>
      </c:barChart>
      <c:catAx>
        <c:axId val="130564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423"/>
        <c:crosses val="autoZero"/>
        <c:auto val="1"/>
        <c:lblAlgn val="ctr"/>
        <c:lblOffset val="100"/>
        <c:noMultiLvlLbl val="0"/>
      </c:catAx>
      <c:valAx>
        <c:axId val="13057423"/>
        <c:scaling>
          <c:orientation val="minMax"/>
        </c:scaling>
        <c:delete val="0"/>
        <c:axPos val="b"/>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image" Target="../media/image1.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129540</xdr:colOff>
      <xdr:row>0</xdr:row>
      <xdr:rowOff>129540</xdr:rowOff>
    </xdr:from>
    <xdr:to>
      <xdr:col>16</xdr:col>
      <xdr:colOff>182880</xdr:colOff>
      <xdr:row>3</xdr:row>
      <xdr:rowOff>76200</xdr:rowOff>
    </xdr:to>
    <xdr:sp macro="" textlink="">
      <xdr:nvSpPr>
        <xdr:cNvPr id="2" name="TextBox 1">
          <a:extLst>
            <a:ext uri="{FF2B5EF4-FFF2-40B4-BE49-F238E27FC236}">
              <a16:creationId xmlns:a16="http://schemas.microsoft.com/office/drawing/2014/main" id="{9428D2B6-2390-B5ED-7057-B4FA378AEF9F}"/>
            </a:ext>
          </a:extLst>
        </xdr:cNvPr>
        <xdr:cNvSpPr txBox="1"/>
      </xdr:nvSpPr>
      <xdr:spPr>
        <a:xfrm>
          <a:off x="4396740" y="129540"/>
          <a:ext cx="5539740" cy="495300"/>
        </a:xfrm>
        <a:prstGeom prst="rect">
          <a:avLst/>
        </a:prstGeom>
        <a:noFill/>
        <a:ln w="9525" cmpd="sng">
          <a:noFill/>
        </a:ln>
        <a:effectLst>
          <a:outerShdw blurRad="107950" dist="12700" dir="5400000" algn="ctr">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effectLst/>
              <a:latin typeface="Segoe UI" panose="020B0502040204020203" pitchFamily="34" charset="0"/>
              <a:cs typeface="Segoe UI" panose="020B0502040204020203" pitchFamily="34" charset="0"/>
            </a:rPr>
            <a:t>Restaurant</a:t>
          </a:r>
          <a:r>
            <a:rPr lang="en-IN" sz="2000" b="1">
              <a:solidFill>
                <a:schemeClr val="accent1">
                  <a:lumMod val="60000"/>
                  <a:lumOff val="40000"/>
                </a:schemeClr>
              </a:solidFill>
              <a:effectLst/>
              <a:latin typeface="Segoe UI" panose="020B0502040204020203" pitchFamily="34" charset="0"/>
              <a:cs typeface="Segoe UI" panose="020B0502040204020203" pitchFamily="34" charset="0"/>
            </a:rPr>
            <a:t> </a:t>
          </a:r>
          <a:r>
            <a:rPr lang="en-IN" sz="2000" b="1">
              <a:solidFill>
                <a:schemeClr val="bg1"/>
              </a:solidFill>
              <a:effectLst/>
              <a:latin typeface="Segoe UI" panose="020B0502040204020203" pitchFamily="34" charset="0"/>
              <a:cs typeface="Segoe UI" panose="020B0502040204020203" pitchFamily="34" charset="0"/>
            </a:rPr>
            <a:t>Sales Performance Dashboard</a:t>
          </a:r>
        </a:p>
      </xdr:txBody>
    </xdr:sp>
    <xdr:clientData/>
  </xdr:twoCellAnchor>
  <xdr:twoCellAnchor>
    <xdr:from>
      <xdr:col>2</xdr:col>
      <xdr:colOff>518160</xdr:colOff>
      <xdr:row>8</xdr:row>
      <xdr:rowOff>175260</xdr:rowOff>
    </xdr:from>
    <xdr:to>
      <xdr:col>9</xdr:col>
      <xdr:colOff>525780</xdr:colOff>
      <xdr:row>22</xdr:row>
      <xdr:rowOff>7620</xdr:rowOff>
    </xdr:to>
    <xdr:graphicFrame macro="">
      <xdr:nvGraphicFramePr>
        <xdr:cNvPr id="13" name="Chart 12">
          <a:extLst>
            <a:ext uri="{FF2B5EF4-FFF2-40B4-BE49-F238E27FC236}">
              <a16:creationId xmlns:a16="http://schemas.microsoft.com/office/drawing/2014/main" id="{32533717-0FD4-444B-94E5-F772B3B41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26</xdr:row>
      <xdr:rowOff>61575</xdr:rowOff>
    </xdr:from>
    <xdr:to>
      <xdr:col>2</xdr:col>
      <xdr:colOff>533400</xdr:colOff>
      <xdr:row>36</xdr:row>
      <xdr:rowOff>152400</xdr:rowOff>
    </xdr:to>
    <mc:AlternateContent xmlns:mc="http://schemas.openxmlformats.org/markup-compatibility/2006" xmlns:a14="http://schemas.microsoft.com/office/drawing/2010/main">
      <mc:Choice Requires="a14">
        <xdr:graphicFrame macro="">
          <xdr:nvGraphicFramePr>
            <xdr:cNvPr id="17" name="Payment_Mode">
              <a:extLst>
                <a:ext uri="{FF2B5EF4-FFF2-40B4-BE49-F238E27FC236}">
                  <a16:creationId xmlns:a16="http://schemas.microsoft.com/office/drawing/2014/main" id="{48567DEA-4756-44FE-AAC9-83CA20E33A2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2860" y="4968240"/>
              <a:ext cx="172974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282353</xdr:colOff>
      <xdr:row>22</xdr:row>
      <xdr:rowOff>23326</xdr:rowOff>
    </xdr:from>
    <xdr:to>
      <xdr:col>16</xdr:col>
      <xdr:colOff>295469</xdr:colOff>
      <xdr:row>37</xdr:row>
      <xdr:rowOff>15550</xdr:rowOff>
    </xdr:to>
    <xdr:graphicFrame macro="">
      <xdr:nvGraphicFramePr>
        <xdr:cNvPr id="18" name="Chart 17">
          <a:extLst>
            <a:ext uri="{FF2B5EF4-FFF2-40B4-BE49-F238E27FC236}">
              <a16:creationId xmlns:a16="http://schemas.microsoft.com/office/drawing/2014/main" id="{AACC897A-9A39-43B4-9CC1-A1E9AF311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531091</xdr:colOff>
      <xdr:row>22</xdr:row>
      <xdr:rowOff>22783</xdr:rowOff>
    </xdr:from>
    <xdr:to>
      <xdr:col>10</xdr:col>
      <xdr:colOff>256592</xdr:colOff>
      <xdr:row>36</xdr:row>
      <xdr:rowOff>167563</xdr:rowOff>
    </xdr:to>
    <xdr:graphicFrame macro="">
      <xdr:nvGraphicFramePr>
        <xdr:cNvPr id="19" name="Chart 18">
          <a:extLst>
            <a:ext uri="{FF2B5EF4-FFF2-40B4-BE49-F238E27FC236}">
              <a16:creationId xmlns:a16="http://schemas.microsoft.com/office/drawing/2014/main" id="{B6BC612D-42FA-4930-9663-9F6E19790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106680</xdr:rowOff>
    </xdr:from>
    <xdr:to>
      <xdr:col>2</xdr:col>
      <xdr:colOff>536510</xdr:colOff>
      <xdr:row>26</xdr:row>
      <xdr:rowOff>85530</xdr:rowOff>
    </xdr:to>
    <mc:AlternateContent xmlns:mc="http://schemas.openxmlformats.org/markup-compatibility/2006" xmlns:a14="http://schemas.microsoft.com/office/drawing/2010/main">
      <mc:Choice Requires="a14">
        <xdr:graphicFrame macro="">
          <xdr:nvGraphicFramePr>
            <xdr:cNvPr id="21" name="Item_Name">
              <a:extLst>
                <a:ext uri="{FF2B5EF4-FFF2-40B4-BE49-F238E27FC236}">
                  <a16:creationId xmlns:a16="http://schemas.microsoft.com/office/drawing/2014/main" id="{BC5662E4-803F-4FA6-BBDC-22D78D1886DF}"/>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0" y="1684020"/>
              <a:ext cx="1691640" cy="325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559836</xdr:colOff>
      <xdr:row>8</xdr:row>
      <xdr:rowOff>171061</xdr:rowOff>
    </xdr:from>
    <xdr:to>
      <xdr:col>23</xdr:col>
      <xdr:colOff>590939</xdr:colOff>
      <xdr:row>21</xdr:row>
      <xdr:rowOff>186302</xdr:rowOff>
    </xdr:to>
    <xdr:graphicFrame macro="">
      <xdr:nvGraphicFramePr>
        <xdr:cNvPr id="4" name="Chart 3">
          <a:extLst>
            <a:ext uri="{FF2B5EF4-FFF2-40B4-BE49-F238E27FC236}">
              <a16:creationId xmlns:a16="http://schemas.microsoft.com/office/drawing/2014/main" id="{7FE7E756-944C-4363-9B93-0C198BB6E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553105</xdr:colOff>
      <xdr:row>3</xdr:row>
      <xdr:rowOff>184726</xdr:rowOff>
    </xdr:from>
    <xdr:to>
      <xdr:col>11</xdr:col>
      <xdr:colOff>287944</xdr:colOff>
      <xdr:row>8</xdr:row>
      <xdr:rowOff>70426</xdr:rowOff>
    </xdr:to>
    <xdr:sp macro="" textlink="'Restaurant Sales'!Q4">
      <xdr:nvSpPr>
        <xdr:cNvPr id="10" name="Rectangle: Rounded Corners 9">
          <a:extLst>
            <a:ext uri="{FF2B5EF4-FFF2-40B4-BE49-F238E27FC236}">
              <a16:creationId xmlns:a16="http://schemas.microsoft.com/office/drawing/2014/main" id="{B4C14A9B-5038-516B-D98E-EA85FC2E6196}"/>
            </a:ext>
          </a:extLst>
        </xdr:cNvPr>
        <xdr:cNvSpPr/>
      </xdr:nvSpPr>
      <xdr:spPr>
        <a:xfrm>
          <a:off x="4809529" y="738908"/>
          <a:ext cx="2167082" cy="924791"/>
        </a:xfrm>
        <a:prstGeom prst="roundRect">
          <a:avLst/>
        </a:prstGeom>
        <a:solidFill>
          <a:schemeClr val="accent1">
            <a:lumMod val="40000"/>
            <a:lumOff val="60000"/>
          </a:schemeClr>
        </a:solidFill>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1" i="0" u="none" strike="noStrike" baseline="0">
              <a:solidFill>
                <a:schemeClr val="accent1">
                  <a:lumMod val="75000"/>
                </a:schemeClr>
              </a:solidFill>
              <a:latin typeface="Calibri"/>
              <a:ea typeface="Calibri"/>
              <a:cs typeface="Calibri"/>
            </a:rPr>
            <a:t>HIGHEST PAYMENT MODE </a:t>
          </a:r>
        </a:p>
        <a:p>
          <a:pPr algn="l"/>
          <a:fld id="{EFA2BA82-2A92-4193-9F03-D6745002BCC1}" type="TxLink">
            <a:rPr lang="en-US" sz="1100" b="1" i="0" u="none" strike="noStrike" baseline="0">
              <a:solidFill>
                <a:schemeClr val="accent1">
                  <a:lumMod val="75000"/>
                </a:schemeClr>
              </a:solidFill>
              <a:latin typeface="Calibri"/>
              <a:ea typeface="Calibri"/>
              <a:cs typeface="Calibri"/>
            </a:rPr>
            <a:t>UPI</a:t>
          </a:fld>
          <a:endParaRPr lang="en-IN" sz="1100" b="1">
            <a:solidFill>
              <a:schemeClr val="accent1">
                <a:lumMod val="75000"/>
              </a:schemeClr>
            </a:solidFill>
          </a:endParaRPr>
        </a:p>
      </xdr:txBody>
    </xdr:sp>
    <xdr:clientData/>
  </xdr:twoCellAnchor>
  <xdr:twoCellAnchor>
    <xdr:from>
      <xdr:col>3</xdr:col>
      <xdr:colOff>601980</xdr:colOff>
      <xdr:row>3</xdr:row>
      <xdr:rowOff>167640</xdr:rowOff>
    </xdr:from>
    <xdr:to>
      <xdr:col>7</xdr:col>
      <xdr:colOff>335280</xdr:colOff>
      <xdr:row>8</xdr:row>
      <xdr:rowOff>53340</xdr:rowOff>
    </xdr:to>
    <xdr:sp macro="" textlink="'Restaurant Sales'!Q7">
      <xdr:nvSpPr>
        <xdr:cNvPr id="11" name="Rectangle: Rounded Corners 10">
          <a:extLst>
            <a:ext uri="{FF2B5EF4-FFF2-40B4-BE49-F238E27FC236}">
              <a16:creationId xmlns:a16="http://schemas.microsoft.com/office/drawing/2014/main" id="{0E94004F-9889-49FB-963C-46A872D4CA88}"/>
            </a:ext>
          </a:extLst>
        </xdr:cNvPr>
        <xdr:cNvSpPr/>
      </xdr:nvSpPr>
      <xdr:spPr>
        <a:xfrm>
          <a:off x="2430780" y="716280"/>
          <a:ext cx="2171700" cy="914400"/>
        </a:xfrm>
        <a:prstGeom prst="roundRect">
          <a:avLst/>
        </a:prstGeom>
        <a:solidFill>
          <a:schemeClr val="accent1">
            <a:lumMod val="40000"/>
            <a:lumOff val="60000"/>
          </a:schemeClr>
        </a:solidFill>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1" i="0" u="none" strike="noStrike" baseline="0">
              <a:solidFill>
                <a:schemeClr val="accent1">
                  <a:lumMod val="75000"/>
                </a:schemeClr>
              </a:solidFill>
              <a:latin typeface="Calibri"/>
              <a:ea typeface="Calibri"/>
              <a:cs typeface="Calibri"/>
            </a:rPr>
            <a:t>TOP</a:t>
          </a:r>
          <a:r>
            <a:rPr lang="en-US" sz="1100" b="0" i="0" u="none" strike="noStrike" baseline="0">
              <a:solidFill>
                <a:srgbClr val="000000"/>
              </a:solidFill>
              <a:latin typeface="Calibri"/>
              <a:ea typeface="Calibri"/>
              <a:cs typeface="Calibri"/>
            </a:rPr>
            <a:t> </a:t>
          </a:r>
          <a:r>
            <a:rPr lang="en-US" sz="1100" b="1" i="0" u="none" strike="noStrike" baseline="0">
              <a:solidFill>
                <a:schemeClr val="accent1">
                  <a:lumMod val="75000"/>
                </a:schemeClr>
              </a:solidFill>
              <a:latin typeface="Calibri"/>
              <a:ea typeface="Calibri"/>
              <a:cs typeface="Calibri"/>
            </a:rPr>
            <a:t>SELLING</a:t>
          </a:r>
          <a:r>
            <a:rPr lang="en-US" sz="1100" b="0" i="0" u="none" strike="noStrike" baseline="0">
              <a:solidFill>
                <a:srgbClr val="000000"/>
              </a:solidFill>
              <a:latin typeface="Calibri"/>
              <a:ea typeface="Calibri"/>
              <a:cs typeface="Calibri"/>
            </a:rPr>
            <a:t> </a:t>
          </a:r>
          <a:r>
            <a:rPr lang="en-US" sz="1100" b="1" i="0" u="none" strike="noStrike" baseline="0">
              <a:solidFill>
                <a:schemeClr val="accent1">
                  <a:lumMod val="75000"/>
                </a:schemeClr>
              </a:solidFill>
              <a:latin typeface="Calibri"/>
              <a:ea typeface="Calibri"/>
              <a:cs typeface="Calibri"/>
            </a:rPr>
            <a:t>PRODUCT</a:t>
          </a:r>
        </a:p>
        <a:p>
          <a:pPr algn="l"/>
          <a:fld id="{97A61E18-771B-4D5A-BD6E-1E482A03BC9C}" type="TxLink">
            <a:rPr lang="en-US" sz="1100" b="1" i="0" u="none" strike="noStrike" baseline="0">
              <a:solidFill>
                <a:schemeClr val="accent1">
                  <a:lumMod val="75000"/>
                </a:schemeClr>
              </a:solidFill>
              <a:latin typeface="Calibri"/>
              <a:ea typeface="Calibri"/>
              <a:cs typeface="Calibri"/>
            </a:rPr>
            <a:t>Momos</a:t>
          </a:fld>
          <a:endParaRPr lang="en-US" sz="1100" b="1" i="0" u="none" strike="noStrike" baseline="0">
            <a:solidFill>
              <a:schemeClr val="accent1">
                <a:lumMod val="75000"/>
              </a:schemeClr>
            </a:solidFill>
            <a:latin typeface="Calibri"/>
            <a:ea typeface="Calibri"/>
            <a:cs typeface="Calibri"/>
          </a:endParaRPr>
        </a:p>
      </xdr:txBody>
    </xdr:sp>
    <xdr:clientData/>
  </xdr:twoCellAnchor>
  <xdr:twoCellAnchor>
    <xdr:from>
      <xdr:col>0</xdr:col>
      <xdr:colOff>71428</xdr:colOff>
      <xdr:row>3</xdr:row>
      <xdr:rowOff>136544</xdr:rowOff>
    </xdr:from>
    <xdr:to>
      <xdr:col>3</xdr:col>
      <xdr:colOff>412789</xdr:colOff>
      <xdr:row>8</xdr:row>
      <xdr:rowOff>22244</xdr:rowOff>
    </xdr:to>
    <xdr:sp macro="" textlink="'Restaurant Sales'!Q10">
      <xdr:nvSpPr>
        <xdr:cNvPr id="12" name="Rectangle: Rounded Corners 11">
          <a:extLst>
            <a:ext uri="{FF2B5EF4-FFF2-40B4-BE49-F238E27FC236}">
              <a16:creationId xmlns:a16="http://schemas.microsoft.com/office/drawing/2014/main" id="{10F5D219-BC71-4EED-8617-B7F727A0457E}"/>
            </a:ext>
          </a:extLst>
        </xdr:cNvPr>
        <xdr:cNvSpPr/>
      </xdr:nvSpPr>
      <xdr:spPr>
        <a:xfrm>
          <a:off x="71428" y="690726"/>
          <a:ext cx="2165543" cy="924791"/>
        </a:xfrm>
        <a:prstGeom prst="roundRect">
          <a:avLst/>
        </a:prstGeom>
        <a:solidFill>
          <a:schemeClr val="accent1">
            <a:lumMod val="40000"/>
            <a:lumOff val="60000"/>
          </a:schemeClr>
        </a:solidFill>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accent1">
                  <a:lumMod val="75000"/>
                </a:schemeClr>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100" b="1" i="0" u="none" strike="noStrike">
              <a:solidFill>
                <a:schemeClr val="accent1">
                  <a:lumMod val="75000"/>
                </a:schemeClr>
              </a:solidFill>
              <a:latin typeface="Calibri"/>
              <a:ea typeface="Calibri"/>
              <a:cs typeface="Calibri"/>
            </a:rPr>
            <a:t>PROFIT</a:t>
          </a:r>
        </a:p>
        <a:p>
          <a:pPr algn="l"/>
          <a:fld id="{363BE3D2-81DD-45A0-B07F-C70BC1EDE5E2}" type="TxLink">
            <a:rPr lang="en-US" sz="1100" b="1" i="0" u="none" strike="noStrike">
              <a:solidFill>
                <a:schemeClr val="accent1">
                  <a:lumMod val="75000"/>
                </a:schemeClr>
              </a:solidFill>
              <a:latin typeface="Calibri"/>
              <a:ea typeface="Calibri"/>
              <a:cs typeface="Calibri"/>
            </a:rPr>
            <a:t> ₹ 1,32,615.00 </a:t>
          </a:fld>
          <a:endParaRPr lang="en-IN" sz="1100" b="1">
            <a:solidFill>
              <a:schemeClr val="accent1">
                <a:lumMod val="75000"/>
              </a:schemeClr>
            </a:solidFill>
          </a:endParaRPr>
        </a:p>
      </xdr:txBody>
    </xdr:sp>
    <xdr:clientData/>
  </xdr:twoCellAnchor>
  <xdr:twoCellAnchor>
    <xdr:from>
      <xdr:col>11</xdr:col>
      <xdr:colOff>556106</xdr:colOff>
      <xdr:row>3</xdr:row>
      <xdr:rowOff>182649</xdr:rowOff>
    </xdr:from>
    <xdr:to>
      <xdr:col>15</xdr:col>
      <xdr:colOff>289406</xdr:colOff>
      <xdr:row>8</xdr:row>
      <xdr:rowOff>68349</xdr:rowOff>
    </xdr:to>
    <xdr:sp macro="" textlink="'Restaurant Sales'!Q13">
      <xdr:nvSpPr>
        <xdr:cNvPr id="14" name="Rectangle: Rounded Corners 13">
          <a:extLst>
            <a:ext uri="{FF2B5EF4-FFF2-40B4-BE49-F238E27FC236}">
              <a16:creationId xmlns:a16="http://schemas.microsoft.com/office/drawing/2014/main" id="{DE9D1604-D448-4541-BDA6-B4DD50CF133F}"/>
            </a:ext>
          </a:extLst>
        </xdr:cNvPr>
        <xdr:cNvSpPr/>
      </xdr:nvSpPr>
      <xdr:spPr>
        <a:xfrm>
          <a:off x="7244773" y="736831"/>
          <a:ext cx="2165542" cy="924791"/>
        </a:xfrm>
        <a:prstGeom prst="roundRect">
          <a:avLst/>
        </a:prstGeom>
        <a:solidFill>
          <a:schemeClr val="accent1">
            <a:lumMod val="40000"/>
            <a:lumOff val="60000"/>
          </a:schemeClr>
        </a:solidFill>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accent1">
                  <a:lumMod val="75000"/>
                </a:schemeClr>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100" b="1" i="0" u="none" strike="noStrike">
              <a:solidFill>
                <a:schemeClr val="accent1">
                  <a:lumMod val="75000"/>
                </a:schemeClr>
              </a:solidFill>
              <a:latin typeface="Calibri"/>
              <a:ea typeface="Calibri"/>
              <a:cs typeface="Calibri"/>
            </a:rPr>
            <a:t>SALE</a:t>
          </a:r>
          <a:r>
            <a:rPr lang="en-US" sz="1100" b="0" i="0" u="none" strike="noStrike">
              <a:solidFill>
                <a:srgbClr val="000000"/>
              </a:solidFill>
              <a:latin typeface="Calibri"/>
              <a:ea typeface="Calibri"/>
              <a:cs typeface="Calibri"/>
            </a:rPr>
            <a:t> </a:t>
          </a:r>
          <a:r>
            <a:rPr lang="en-US" sz="1100" b="1" i="0" u="none" strike="noStrike">
              <a:solidFill>
                <a:schemeClr val="accent1">
                  <a:lumMod val="75000"/>
                </a:schemeClr>
              </a:solidFill>
              <a:latin typeface="Calibri"/>
              <a:ea typeface="Calibri"/>
              <a:cs typeface="Calibri"/>
            </a:rPr>
            <a:t>REVENUE</a:t>
          </a:r>
          <a:r>
            <a:rPr lang="en-US" sz="1100" b="0" i="0" u="none" strike="noStrike">
              <a:solidFill>
                <a:srgbClr val="000000"/>
              </a:solidFill>
              <a:latin typeface="Calibri"/>
              <a:ea typeface="Calibri"/>
              <a:cs typeface="Calibri"/>
            </a:rPr>
            <a:t>                  </a:t>
          </a:r>
        </a:p>
        <a:p>
          <a:pPr algn="l"/>
          <a:fld id="{74829C77-2764-4052-B01F-141182F0A541}" type="TxLink">
            <a:rPr lang="en-US" sz="1100" b="1" i="0" u="none" strike="noStrike">
              <a:solidFill>
                <a:schemeClr val="accent1">
                  <a:lumMod val="75000"/>
                </a:schemeClr>
              </a:solidFill>
              <a:latin typeface="Calibri"/>
              <a:ea typeface="Calibri"/>
              <a:cs typeface="Calibri"/>
            </a:rPr>
            <a:t> ₹ 5,93,996.00 </a:t>
          </a:fld>
          <a:endParaRPr lang="en-IN" sz="1100" b="1">
            <a:solidFill>
              <a:schemeClr val="accent1">
                <a:lumMod val="75000"/>
              </a:schemeClr>
            </a:solidFill>
          </a:endParaRPr>
        </a:p>
      </xdr:txBody>
    </xdr:sp>
    <xdr:clientData/>
  </xdr:twoCellAnchor>
  <xdr:twoCellAnchor>
    <xdr:from>
      <xdr:col>15</xdr:col>
      <xdr:colOff>525780</xdr:colOff>
      <xdr:row>3</xdr:row>
      <xdr:rowOff>198120</xdr:rowOff>
    </xdr:from>
    <xdr:to>
      <xdr:col>19</xdr:col>
      <xdr:colOff>259080</xdr:colOff>
      <xdr:row>8</xdr:row>
      <xdr:rowOff>83820</xdr:rowOff>
    </xdr:to>
    <xdr:sp macro="" textlink="'Restaurant Sales'!Q16">
      <xdr:nvSpPr>
        <xdr:cNvPr id="15" name="Rectangle: Rounded Corners 14">
          <a:extLst>
            <a:ext uri="{FF2B5EF4-FFF2-40B4-BE49-F238E27FC236}">
              <a16:creationId xmlns:a16="http://schemas.microsoft.com/office/drawing/2014/main" id="{ACC1D1F2-5CF5-4A54-944F-AA8DCDDFEEB8}"/>
            </a:ext>
          </a:extLst>
        </xdr:cNvPr>
        <xdr:cNvSpPr/>
      </xdr:nvSpPr>
      <xdr:spPr>
        <a:xfrm>
          <a:off x="9669780" y="746760"/>
          <a:ext cx="2171700" cy="914400"/>
        </a:xfrm>
        <a:prstGeom prst="roundRect">
          <a:avLst/>
        </a:prstGeom>
        <a:solidFill>
          <a:schemeClr val="accent1">
            <a:lumMod val="40000"/>
            <a:lumOff val="60000"/>
          </a:schemeClr>
        </a:solidFill>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accent1">
                  <a:lumMod val="75000"/>
                </a:schemeClr>
              </a:solidFill>
              <a:latin typeface="Calibri"/>
              <a:ea typeface="Calibri"/>
              <a:cs typeface="Calibri"/>
            </a:rPr>
            <a:t>TOTAL ORDERS</a:t>
          </a:r>
        </a:p>
        <a:p>
          <a:pPr algn="l"/>
          <a:fld id="{F004CFFC-3297-470D-8412-ED0FC10525A5}" type="TxLink">
            <a:rPr lang="en-US" sz="1100" b="1" i="0" u="none" strike="noStrike">
              <a:solidFill>
                <a:schemeClr val="accent1">
                  <a:lumMod val="75000"/>
                </a:schemeClr>
              </a:solidFill>
              <a:latin typeface="Calibri"/>
              <a:ea typeface="Calibri"/>
              <a:cs typeface="Calibri"/>
            </a:rPr>
            <a:pPr algn="l"/>
            <a:t>500</a:t>
          </a:fld>
          <a:endParaRPr lang="en-IN" sz="1100" b="1">
            <a:solidFill>
              <a:schemeClr val="accent1">
                <a:lumMod val="75000"/>
              </a:schemeClr>
            </a:solidFill>
          </a:endParaRPr>
        </a:p>
      </xdr:txBody>
    </xdr:sp>
    <xdr:clientData/>
  </xdr:twoCellAnchor>
  <xdr:twoCellAnchor>
    <xdr:from>
      <xdr:col>19</xdr:col>
      <xdr:colOff>495300</xdr:colOff>
      <xdr:row>3</xdr:row>
      <xdr:rowOff>182880</xdr:rowOff>
    </xdr:from>
    <xdr:to>
      <xdr:col>23</xdr:col>
      <xdr:colOff>228600</xdr:colOff>
      <xdr:row>8</xdr:row>
      <xdr:rowOff>68580</xdr:rowOff>
    </xdr:to>
    <xdr:sp macro="" textlink="">
      <xdr:nvSpPr>
        <xdr:cNvPr id="16" name="Rectangle: Rounded Corners 15">
          <a:extLst>
            <a:ext uri="{FF2B5EF4-FFF2-40B4-BE49-F238E27FC236}">
              <a16:creationId xmlns:a16="http://schemas.microsoft.com/office/drawing/2014/main" id="{35DC02C9-A2C1-4F8D-BE14-0129EB32BE44}"/>
            </a:ext>
          </a:extLst>
        </xdr:cNvPr>
        <xdr:cNvSpPr/>
      </xdr:nvSpPr>
      <xdr:spPr>
        <a:xfrm>
          <a:off x="12077700" y="731520"/>
          <a:ext cx="2171700" cy="914400"/>
        </a:xfrm>
        <a:prstGeom prst="roundRect">
          <a:avLst/>
        </a:prstGeom>
        <a:solidFill>
          <a:schemeClr val="accent1">
            <a:lumMod val="40000"/>
            <a:lumOff val="60000"/>
          </a:schemeClr>
        </a:solidFill>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US" sz="1100" b="1">
              <a:solidFill>
                <a:schemeClr val="accent1">
                  <a:lumMod val="75000"/>
                </a:schemeClr>
              </a:solidFill>
            </a:rPr>
            <a:t>HIGHEST REVENUE</a:t>
          </a:r>
          <a:r>
            <a:rPr lang="en-US" sz="1100" b="1" baseline="0">
              <a:solidFill>
                <a:schemeClr val="accent1">
                  <a:lumMod val="75000"/>
                </a:schemeClr>
              </a:solidFill>
            </a:rPr>
            <a:t> CITY</a:t>
          </a:r>
        </a:p>
        <a:p>
          <a:pPr algn="l"/>
          <a:r>
            <a:rPr lang="en-US" sz="1100" b="1">
              <a:solidFill>
                <a:schemeClr val="accent1">
                  <a:lumMod val="75000"/>
                </a:schemeClr>
              </a:solidFill>
            </a:rPr>
            <a:t>PUNE</a:t>
          </a:r>
        </a:p>
      </xdr:txBody>
    </xdr:sp>
    <xdr:clientData/>
  </xdr:twoCellAnchor>
  <xdr:twoCellAnchor editAs="oneCell">
    <xdr:from>
      <xdr:col>2</xdr:col>
      <xdr:colOff>130849</xdr:colOff>
      <xdr:row>3</xdr:row>
      <xdr:rowOff>192367</xdr:rowOff>
    </xdr:from>
    <xdr:to>
      <xdr:col>3</xdr:col>
      <xdr:colOff>315576</xdr:colOff>
      <xdr:row>7</xdr:row>
      <xdr:rowOff>130792</xdr:rowOff>
    </xdr:to>
    <xdr:pic>
      <xdr:nvPicPr>
        <xdr:cNvPr id="8" name="Picture 7">
          <a:extLst>
            <a:ext uri="{FF2B5EF4-FFF2-40B4-BE49-F238E27FC236}">
              <a16:creationId xmlns:a16="http://schemas.microsoft.com/office/drawing/2014/main" id="{22A45C45-0BE5-1335-4C79-F2CA1F6EC0EA}"/>
            </a:ext>
          </a:extLst>
        </xdr:cNvPr>
        <xdr:cNvPicPr>
          <a:picLocks noChangeAspect="1"/>
        </xdr:cNvPicPr>
      </xdr:nvPicPr>
      <xdr:blipFill>
        <a:blip xmlns:r="http://schemas.openxmlformats.org/officeDocument/2006/relationships" r:embed="rId5"/>
        <a:stretch>
          <a:fillRect/>
        </a:stretch>
      </xdr:blipFill>
      <xdr:spPr>
        <a:xfrm>
          <a:off x="1346970" y="746549"/>
          <a:ext cx="792788" cy="792788"/>
        </a:xfrm>
        <a:prstGeom prst="ellipse">
          <a:avLst/>
        </a:prstGeom>
        <a:ln>
          <a:noFill/>
        </a:ln>
        <a:effectLst>
          <a:softEdge rad="112500"/>
        </a:effectLst>
      </xdr:spPr>
    </xdr:pic>
    <xdr:clientData/>
  </xdr:twoCellAnchor>
  <xdr:twoCellAnchor editAs="oneCell">
    <xdr:from>
      <xdr:col>14</xdr:col>
      <xdr:colOff>169334</xdr:colOff>
      <xdr:row>3</xdr:row>
      <xdr:rowOff>297784</xdr:rowOff>
    </xdr:from>
    <xdr:to>
      <xdr:col>15</xdr:col>
      <xdr:colOff>200121</xdr:colOff>
      <xdr:row>7</xdr:row>
      <xdr:rowOff>82269</xdr:rowOff>
    </xdr:to>
    <xdr:pic>
      <xdr:nvPicPr>
        <xdr:cNvPr id="9" name="Picture 8">
          <a:extLst>
            <a:ext uri="{FF2B5EF4-FFF2-40B4-BE49-F238E27FC236}">
              <a16:creationId xmlns:a16="http://schemas.microsoft.com/office/drawing/2014/main" id="{B2BCBFF2-B497-C12E-6D9B-332723C31D89}"/>
            </a:ext>
          </a:extLst>
        </xdr:cNvPr>
        <xdr:cNvPicPr>
          <a:picLocks noChangeAspect="1"/>
        </xdr:cNvPicPr>
      </xdr:nvPicPr>
      <xdr:blipFill>
        <a:blip xmlns:r="http://schemas.openxmlformats.org/officeDocument/2006/relationships" r:embed="rId6"/>
        <a:stretch>
          <a:fillRect/>
        </a:stretch>
      </xdr:blipFill>
      <xdr:spPr>
        <a:xfrm>
          <a:off x="8682182" y="851966"/>
          <a:ext cx="638848" cy="638848"/>
        </a:xfrm>
        <a:prstGeom prst="rect">
          <a:avLst/>
        </a:prstGeom>
      </xdr:spPr>
    </xdr:pic>
    <xdr:clientData/>
  </xdr:twoCellAnchor>
  <xdr:twoCellAnchor editAs="oneCell">
    <xdr:from>
      <xdr:col>18</xdr:col>
      <xdr:colOff>53880</xdr:colOff>
      <xdr:row>3</xdr:row>
      <xdr:rowOff>290086</xdr:rowOff>
    </xdr:from>
    <xdr:to>
      <xdr:col>19</xdr:col>
      <xdr:colOff>100061</xdr:colOff>
      <xdr:row>7</xdr:row>
      <xdr:rowOff>89965</xdr:rowOff>
    </xdr:to>
    <xdr:pic>
      <xdr:nvPicPr>
        <xdr:cNvPr id="22" name="Picture 21">
          <a:extLst>
            <a:ext uri="{FF2B5EF4-FFF2-40B4-BE49-F238E27FC236}">
              <a16:creationId xmlns:a16="http://schemas.microsoft.com/office/drawing/2014/main" id="{4DCF7166-7A09-1628-F931-E1520615222D}"/>
            </a:ext>
          </a:extLst>
        </xdr:cNvPr>
        <xdr:cNvPicPr>
          <a:picLocks noChangeAspect="1"/>
        </xdr:cNvPicPr>
      </xdr:nvPicPr>
      <xdr:blipFill>
        <a:blip xmlns:r="http://schemas.openxmlformats.org/officeDocument/2006/relationships" r:embed="rId7"/>
        <a:stretch>
          <a:fillRect/>
        </a:stretch>
      </xdr:blipFill>
      <xdr:spPr>
        <a:xfrm>
          <a:off x="10998971" y="844268"/>
          <a:ext cx="654242" cy="654242"/>
        </a:xfrm>
        <a:prstGeom prst="rect">
          <a:avLst/>
        </a:prstGeom>
      </xdr:spPr>
    </xdr:pic>
    <xdr:clientData/>
  </xdr:twoCellAnchor>
  <xdr:twoCellAnchor>
    <xdr:from>
      <xdr:col>16</xdr:col>
      <xdr:colOff>311020</xdr:colOff>
      <xdr:row>22</xdr:row>
      <xdr:rowOff>30710</xdr:rowOff>
    </xdr:from>
    <xdr:to>
      <xdr:col>24</xdr:col>
      <xdr:colOff>7776</xdr:colOff>
      <xdr:row>37</xdr:row>
      <xdr:rowOff>3001</xdr:rowOff>
    </xdr:to>
    <xdr:graphicFrame macro="">
      <xdr:nvGraphicFramePr>
        <xdr:cNvPr id="3" name="Chart 2">
          <a:extLst>
            <a:ext uri="{FF2B5EF4-FFF2-40B4-BE49-F238E27FC236}">
              <a16:creationId xmlns:a16="http://schemas.microsoft.com/office/drawing/2014/main" id="{2EFD3C31-03F6-4A8C-AB85-ED512D5C1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349897</xdr:colOff>
      <xdr:row>4</xdr:row>
      <xdr:rowOff>20766</xdr:rowOff>
    </xdr:from>
    <xdr:to>
      <xdr:col>7</xdr:col>
      <xdr:colOff>241040</xdr:colOff>
      <xdr:row>7</xdr:row>
      <xdr:rowOff>2952</xdr:rowOff>
    </xdr:to>
    <xdr:pic>
      <xdr:nvPicPr>
        <xdr:cNvPr id="5" name="Picture 4">
          <a:extLst>
            <a:ext uri="{FF2B5EF4-FFF2-40B4-BE49-F238E27FC236}">
              <a16:creationId xmlns:a16="http://schemas.microsoft.com/office/drawing/2014/main" id="{8D9A2DF5-D5B3-7C13-54FB-93DAD4940B44}"/>
            </a:ext>
          </a:extLst>
        </xdr:cNvPr>
        <xdr:cNvPicPr>
          <a:picLocks noChangeAspect="1"/>
        </xdr:cNvPicPr>
      </xdr:nvPicPr>
      <xdr:blipFill>
        <a:blip xmlns:r="http://schemas.openxmlformats.org/officeDocument/2006/relationships" r:embed="rId9"/>
        <a:stretch>
          <a:fillRect/>
        </a:stretch>
      </xdr:blipFill>
      <xdr:spPr>
        <a:xfrm>
          <a:off x="3988836" y="876072"/>
          <a:ext cx="497633" cy="542023"/>
        </a:xfrm>
        <a:prstGeom prst="rect">
          <a:avLst/>
        </a:prstGeom>
      </xdr:spPr>
    </xdr:pic>
    <xdr:clientData/>
  </xdr:twoCellAnchor>
  <xdr:twoCellAnchor editAs="oneCell">
    <xdr:from>
      <xdr:col>10</xdr:col>
      <xdr:colOff>194389</xdr:colOff>
      <xdr:row>4</xdr:row>
      <xdr:rowOff>19014</xdr:rowOff>
    </xdr:from>
    <xdr:to>
      <xdr:col>11</xdr:col>
      <xdr:colOff>318796</xdr:colOff>
      <xdr:row>7</xdr:row>
      <xdr:rowOff>131132</xdr:rowOff>
    </xdr:to>
    <xdr:pic>
      <xdr:nvPicPr>
        <xdr:cNvPr id="6" name="Picture 5">
          <a:extLst>
            <a:ext uri="{FF2B5EF4-FFF2-40B4-BE49-F238E27FC236}">
              <a16:creationId xmlns:a16="http://schemas.microsoft.com/office/drawing/2014/main" id="{14D0FA67-C567-4CAD-2681-FC6804ED96E9}"/>
            </a:ext>
          </a:extLst>
        </xdr:cNvPr>
        <xdr:cNvPicPr>
          <a:picLocks noChangeAspect="1"/>
        </xdr:cNvPicPr>
      </xdr:nvPicPr>
      <xdr:blipFill>
        <a:blip xmlns:r="http://schemas.openxmlformats.org/officeDocument/2006/relationships" r:embed="rId10"/>
        <a:stretch>
          <a:fillRect/>
        </a:stretch>
      </xdr:blipFill>
      <xdr:spPr>
        <a:xfrm>
          <a:off x="6259287" y="874320"/>
          <a:ext cx="730897" cy="671955"/>
        </a:xfrm>
        <a:prstGeom prst="ellipse">
          <a:avLst/>
        </a:prstGeom>
        <a:ln>
          <a:noFill/>
        </a:ln>
        <a:effectLst>
          <a:softEdge rad="112500"/>
        </a:effectLst>
      </xdr:spPr>
    </xdr:pic>
    <xdr:clientData/>
  </xdr:twoCellAnchor>
  <xdr:twoCellAnchor editAs="oneCell">
    <xdr:from>
      <xdr:col>22</xdr:col>
      <xdr:colOff>248817</xdr:colOff>
      <xdr:row>4</xdr:row>
      <xdr:rowOff>69979</xdr:rowOff>
    </xdr:from>
    <xdr:to>
      <xdr:col>23</xdr:col>
      <xdr:colOff>133756</xdr:colOff>
      <xdr:row>7</xdr:row>
      <xdr:rowOff>9454</xdr:rowOff>
    </xdr:to>
    <xdr:pic>
      <xdr:nvPicPr>
        <xdr:cNvPr id="7" name="Picture 6">
          <a:extLst>
            <a:ext uri="{FF2B5EF4-FFF2-40B4-BE49-F238E27FC236}">
              <a16:creationId xmlns:a16="http://schemas.microsoft.com/office/drawing/2014/main" id="{61D56885-8D68-1F73-053A-1430C2DC40BA}"/>
            </a:ext>
          </a:extLst>
        </xdr:cNvPr>
        <xdr:cNvPicPr>
          <a:picLocks noChangeAspect="1"/>
        </xdr:cNvPicPr>
      </xdr:nvPicPr>
      <xdr:blipFill>
        <a:blip xmlns:r="http://schemas.openxmlformats.org/officeDocument/2006/relationships" r:embed="rId11"/>
        <a:stretch>
          <a:fillRect/>
        </a:stretch>
      </xdr:blipFill>
      <xdr:spPr>
        <a:xfrm>
          <a:off x="13591593" y="925285"/>
          <a:ext cx="491428" cy="4993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wa" refreshedDate="46203.733876157406" createdVersion="8" refreshedVersion="8" minRefreshableVersion="3" recordCount="500" xr:uid="{E4D46BD9-BB1C-4114-B841-E9C85475A814}">
  <cacheSource type="worksheet">
    <worksheetSource name="Table1"/>
  </cacheSource>
  <cacheFields count="14">
    <cacheField name="Order_ID" numFmtId="0">
      <sharedItems/>
    </cacheField>
    <cacheField name="month" numFmtId="0">
      <sharedItems count="12">
        <s v="December"/>
        <s v="May"/>
        <s v="February"/>
        <s v="November"/>
        <s v="September"/>
        <s v="July"/>
        <s v="August"/>
        <s v="April"/>
        <s v="June"/>
        <s v="March"/>
        <s v="January"/>
        <s v="October"/>
      </sharedItems>
    </cacheField>
    <cacheField name="Date" numFmtId="164">
      <sharedItems containsSemiMixedTypes="0" containsNonDate="0" containsDate="1" containsString="0" minDate="2026-01-01T00:00:00" maxDate="2026-12-29T00:00:00"/>
    </cacheField>
    <cacheField name="Customer_Name" numFmtId="0">
      <sharedItems/>
    </cacheField>
    <cacheField name="City" numFmtId="0">
      <sharedItems count="5">
        <s v="Hyderabad"/>
        <s v="Delhi"/>
        <s v="Pune"/>
        <s v="Bangalore"/>
        <s v="Mumbai"/>
      </sharedItems>
    </cacheField>
    <cacheField name="Item_Name" numFmtId="0">
      <sharedItems count="11">
        <s v="Cake"/>
        <s v="Pasta"/>
        <s v="Momos"/>
        <s v="Pizza"/>
        <s v="Juice"/>
        <s v="Biryani"/>
        <s v="Sandwich"/>
        <s v="Noodles"/>
        <s v="Salad"/>
        <s v="Burger"/>
        <s v="Coffee"/>
      </sharedItems>
    </cacheField>
    <cacheField name="Category" numFmtId="0">
      <sharedItems count="1">
        <s v="Food"/>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81" maxValue="800"/>
    </cacheField>
    <cacheField name="Discount" numFmtId="9">
      <sharedItems containsSemiMixedTypes="0" containsString="0" containsNumber="1" minValue="0" maxValue="0.2"/>
    </cacheField>
    <cacheField name="Amount" numFmtId="0">
      <sharedItems containsSemiMixedTypes="0" containsString="0" containsNumber="1" containsInteger="1" minValue="71" maxValue="3846"/>
    </cacheField>
    <cacheField name="Payment_Mode" numFmtId="0">
      <sharedItems count="4">
        <s v="UPI"/>
        <s v="Wallet"/>
        <s v="Card"/>
        <s v="Cash"/>
      </sharedItems>
    </cacheField>
    <cacheField name="Order_Type" numFmtId="0">
      <sharedItems count="3">
        <s v="Dine-in"/>
        <s v="Delivery"/>
        <s v="Takeaway"/>
      </sharedItems>
    </cacheField>
    <cacheField name="Profit" numFmtId="0">
      <sharedItems containsSemiMixedTypes="0" containsString="0" containsNumber="1" containsInteger="1" minValue="9" maxValue="1116"/>
    </cacheField>
  </cacheFields>
  <extLst>
    <ext xmlns:x14="http://schemas.microsoft.com/office/spreadsheetml/2009/9/main" uri="{725AE2AE-9491-48be-B2B4-4EB974FC3084}">
      <x14:pivotCacheDefinition pivotCacheId="1927114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d v="2026-12-28T00:00:00"/>
    <s v="Vikram 23"/>
    <x v="0"/>
    <x v="0"/>
    <x v="0"/>
    <n v="5"/>
    <n v="339"/>
    <n v="0.18"/>
    <n v="1389"/>
    <x v="0"/>
    <x v="0"/>
    <n v="347"/>
  </r>
  <r>
    <s v="ORD0002"/>
    <x v="1"/>
    <d v="2026-05-10T00:00:00"/>
    <s v="Karan 90"/>
    <x v="1"/>
    <x v="1"/>
    <x v="0"/>
    <n v="5"/>
    <n v="210"/>
    <n v="0.18"/>
    <n v="861"/>
    <x v="1"/>
    <x v="0"/>
    <n v="206"/>
  </r>
  <r>
    <s v="ORD0003"/>
    <x v="2"/>
    <d v="2026-02-05T00:00:00"/>
    <s v="Ananya 32"/>
    <x v="2"/>
    <x v="2"/>
    <x v="0"/>
    <n v="3"/>
    <n v="617"/>
    <n v="0.18"/>
    <n v="1517"/>
    <x v="2"/>
    <x v="1"/>
    <n v="379"/>
  </r>
  <r>
    <s v="ORD0004"/>
    <x v="3"/>
    <d v="2026-11-01T00:00:00"/>
    <s v="Aarav 92"/>
    <x v="2"/>
    <x v="3"/>
    <x v="0"/>
    <n v="2"/>
    <n v="709"/>
    <n v="0.03"/>
    <n v="1375"/>
    <x v="1"/>
    <x v="0"/>
    <n v="440"/>
  </r>
  <r>
    <s v="ORD0005"/>
    <x v="4"/>
    <d v="2026-09-17T00:00:00"/>
    <s v="Priya 65"/>
    <x v="0"/>
    <x v="4"/>
    <x v="0"/>
    <n v="5"/>
    <n v="461"/>
    <n v="7.0000000000000007E-2"/>
    <n v="2143"/>
    <x v="3"/>
    <x v="0"/>
    <n v="492"/>
  </r>
  <r>
    <s v="ORD0006"/>
    <x v="5"/>
    <d v="2026-07-06T00:00:00"/>
    <s v="Sneha 53"/>
    <x v="3"/>
    <x v="5"/>
    <x v="0"/>
    <n v="4"/>
    <n v="364"/>
    <n v="0.2"/>
    <n v="1164"/>
    <x v="1"/>
    <x v="1"/>
    <n v="314"/>
  </r>
  <r>
    <s v="ORD0007"/>
    <x v="6"/>
    <d v="2026-08-24T00:00:00"/>
    <s v="Sneha 68"/>
    <x v="3"/>
    <x v="5"/>
    <x v="0"/>
    <n v="1"/>
    <n v="346"/>
    <n v="0.2"/>
    <n v="276"/>
    <x v="2"/>
    <x v="1"/>
    <n v="88"/>
  </r>
  <r>
    <s v="ORD0008"/>
    <x v="7"/>
    <d v="2026-04-03T00:00:00"/>
    <s v="Aarav 78"/>
    <x v="3"/>
    <x v="4"/>
    <x v="0"/>
    <n v="5"/>
    <n v="136"/>
    <n v="0.09"/>
    <n v="618"/>
    <x v="2"/>
    <x v="1"/>
    <n v="173"/>
  </r>
  <r>
    <s v="ORD0009"/>
    <x v="8"/>
    <d v="2026-06-28T00:00:00"/>
    <s v="Vikram 69"/>
    <x v="2"/>
    <x v="6"/>
    <x v="0"/>
    <n v="1"/>
    <n v="85"/>
    <n v="0.06"/>
    <n v="79"/>
    <x v="0"/>
    <x v="1"/>
    <n v="23"/>
  </r>
  <r>
    <s v="ORD0010"/>
    <x v="0"/>
    <d v="2026-12-27T00:00:00"/>
    <s v="Karan 63"/>
    <x v="0"/>
    <x v="3"/>
    <x v="0"/>
    <n v="3"/>
    <n v="749"/>
    <n v="0.03"/>
    <n v="2179"/>
    <x v="3"/>
    <x v="1"/>
    <n v="653"/>
  </r>
  <r>
    <s v="ORD0011"/>
    <x v="8"/>
    <d v="2026-06-03T00:00:00"/>
    <s v="Karan 84"/>
    <x v="1"/>
    <x v="7"/>
    <x v="0"/>
    <n v="4"/>
    <n v="133"/>
    <n v="0.05"/>
    <n v="505"/>
    <x v="1"/>
    <x v="2"/>
    <n v="116"/>
  </r>
  <r>
    <s v="ORD0012"/>
    <x v="6"/>
    <d v="2026-08-06T00:00:00"/>
    <s v="Riya 39"/>
    <x v="0"/>
    <x v="1"/>
    <x v="0"/>
    <n v="4"/>
    <n v="170"/>
    <n v="0.1"/>
    <n v="612"/>
    <x v="1"/>
    <x v="1"/>
    <n v="128"/>
  </r>
  <r>
    <s v="ORD0013"/>
    <x v="9"/>
    <d v="2026-03-22T00:00:00"/>
    <s v="Ananya 38"/>
    <x v="0"/>
    <x v="0"/>
    <x v="0"/>
    <n v="5"/>
    <n v="144"/>
    <n v="0.19"/>
    <n v="583"/>
    <x v="3"/>
    <x v="1"/>
    <n v="174"/>
  </r>
  <r>
    <s v="ORD0014"/>
    <x v="10"/>
    <d v="2026-01-09T00:00:00"/>
    <s v="Sneha 69"/>
    <x v="3"/>
    <x v="3"/>
    <x v="0"/>
    <n v="5"/>
    <n v="268"/>
    <n v="0.12"/>
    <n v="1179"/>
    <x v="3"/>
    <x v="1"/>
    <n v="365"/>
  </r>
  <r>
    <s v="ORD0015"/>
    <x v="2"/>
    <d v="2026-02-18T00:00:00"/>
    <s v="Riya 28"/>
    <x v="2"/>
    <x v="3"/>
    <x v="0"/>
    <n v="3"/>
    <n v="720"/>
    <n v="0.03"/>
    <n v="2095"/>
    <x v="2"/>
    <x v="0"/>
    <n v="419"/>
  </r>
  <r>
    <s v="ORD0016"/>
    <x v="9"/>
    <d v="2026-03-18T00:00:00"/>
    <s v="Priya 67"/>
    <x v="0"/>
    <x v="5"/>
    <x v="0"/>
    <n v="3"/>
    <n v="374"/>
    <n v="0.16"/>
    <n v="942"/>
    <x v="0"/>
    <x v="0"/>
    <n v="254"/>
  </r>
  <r>
    <s v="ORD0017"/>
    <x v="3"/>
    <d v="2026-11-28T00:00:00"/>
    <s v="Aarav 16"/>
    <x v="1"/>
    <x v="8"/>
    <x v="0"/>
    <n v="4"/>
    <n v="712"/>
    <n v="0.15"/>
    <n v="2420"/>
    <x v="0"/>
    <x v="2"/>
    <n v="653"/>
  </r>
  <r>
    <s v="ORD0018"/>
    <x v="5"/>
    <d v="2026-07-14T00:00:00"/>
    <s v="Riya 5"/>
    <x v="4"/>
    <x v="9"/>
    <x v="0"/>
    <n v="3"/>
    <n v="684"/>
    <n v="0.01"/>
    <n v="2031"/>
    <x v="0"/>
    <x v="2"/>
    <n v="629"/>
  </r>
  <r>
    <s v="ORD0019"/>
    <x v="10"/>
    <d v="2026-01-21T00:00:00"/>
    <s v="Vikram 87"/>
    <x v="4"/>
    <x v="10"/>
    <x v="0"/>
    <n v="1"/>
    <n v="252"/>
    <n v="0.19"/>
    <n v="204"/>
    <x v="0"/>
    <x v="0"/>
    <n v="26"/>
  </r>
  <r>
    <s v="ORD0020"/>
    <x v="2"/>
    <d v="2026-02-17T00:00:00"/>
    <s v="Aarav 97"/>
    <x v="2"/>
    <x v="0"/>
    <x v="0"/>
    <n v="1"/>
    <n v="189"/>
    <n v="0.04"/>
    <n v="181"/>
    <x v="3"/>
    <x v="0"/>
    <n v="56"/>
  </r>
  <r>
    <s v="ORD0021"/>
    <x v="6"/>
    <d v="2026-08-01T00:00:00"/>
    <s v="Sneha 77"/>
    <x v="3"/>
    <x v="5"/>
    <x v="0"/>
    <n v="1"/>
    <n v="111"/>
    <n v="0.02"/>
    <n v="108"/>
    <x v="3"/>
    <x v="1"/>
    <n v="29"/>
  </r>
  <r>
    <s v="ORD0022"/>
    <x v="1"/>
    <d v="2026-05-05T00:00:00"/>
    <s v="Aarav 58"/>
    <x v="1"/>
    <x v="2"/>
    <x v="0"/>
    <n v="5"/>
    <n v="777"/>
    <n v="0.01"/>
    <n v="3846"/>
    <x v="3"/>
    <x v="1"/>
    <n v="730"/>
  </r>
  <r>
    <s v="ORD0023"/>
    <x v="3"/>
    <d v="2026-11-04T00:00:00"/>
    <s v="Aarav 80"/>
    <x v="2"/>
    <x v="8"/>
    <x v="0"/>
    <n v="1"/>
    <n v="798"/>
    <n v="0"/>
    <n v="798"/>
    <x v="0"/>
    <x v="0"/>
    <n v="103"/>
  </r>
  <r>
    <s v="ORD0024"/>
    <x v="1"/>
    <d v="2026-05-15T00:00:00"/>
    <s v="Riya 80"/>
    <x v="3"/>
    <x v="6"/>
    <x v="0"/>
    <n v="3"/>
    <n v="170"/>
    <n v="0.03"/>
    <n v="494"/>
    <x v="1"/>
    <x v="1"/>
    <n v="79"/>
  </r>
  <r>
    <s v="ORD0025"/>
    <x v="8"/>
    <d v="2026-06-16T00:00:00"/>
    <s v="Priya 62"/>
    <x v="2"/>
    <x v="2"/>
    <x v="0"/>
    <n v="2"/>
    <n v="800"/>
    <n v="0.18"/>
    <n v="1312"/>
    <x v="3"/>
    <x v="0"/>
    <n v="341"/>
  </r>
  <r>
    <s v="ORD0026"/>
    <x v="3"/>
    <d v="2026-11-03T00:00:00"/>
    <s v="Riya 9"/>
    <x v="2"/>
    <x v="10"/>
    <x v="0"/>
    <n v="5"/>
    <n v="712"/>
    <n v="0.01"/>
    <n v="3524"/>
    <x v="2"/>
    <x v="2"/>
    <n v="599"/>
  </r>
  <r>
    <s v="ORD0027"/>
    <x v="10"/>
    <d v="2026-01-09T00:00:00"/>
    <s v="Aarav 65"/>
    <x v="1"/>
    <x v="1"/>
    <x v="0"/>
    <n v="3"/>
    <n v="767"/>
    <n v="0.12"/>
    <n v="2024"/>
    <x v="0"/>
    <x v="0"/>
    <n v="465"/>
  </r>
  <r>
    <s v="ORD0028"/>
    <x v="2"/>
    <d v="2026-02-14T00:00:00"/>
    <s v="Aarav 85"/>
    <x v="3"/>
    <x v="10"/>
    <x v="0"/>
    <n v="1"/>
    <n v="129"/>
    <n v="7.0000000000000007E-2"/>
    <n v="119"/>
    <x v="0"/>
    <x v="0"/>
    <n v="21"/>
  </r>
  <r>
    <s v="ORD0029"/>
    <x v="8"/>
    <d v="2026-06-04T00:00:00"/>
    <s v="Karan 92"/>
    <x v="0"/>
    <x v="10"/>
    <x v="0"/>
    <n v="2"/>
    <n v="599"/>
    <n v="0"/>
    <n v="1198"/>
    <x v="0"/>
    <x v="0"/>
    <n v="119"/>
  </r>
  <r>
    <s v="ORD0030"/>
    <x v="1"/>
    <d v="2026-05-21T00:00:00"/>
    <s v="Sneha 89"/>
    <x v="1"/>
    <x v="4"/>
    <x v="0"/>
    <n v="5"/>
    <n v="502"/>
    <n v="0.14000000000000001"/>
    <n v="2158"/>
    <x v="0"/>
    <x v="0"/>
    <n v="431"/>
  </r>
  <r>
    <s v="ORD0031"/>
    <x v="0"/>
    <d v="2026-12-01T00:00:00"/>
    <s v="Vikram 80"/>
    <x v="0"/>
    <x v="10"/>
    <x v="0"/>
    <n v="2"/>
    <n v="502"/>
    <n v="0"/>
    <n v="1004"/>
    <x v="1"/>
    <x v="0"/>
    <n v="100"/>
  </r>
  <r>
    <s v="ORD0032"/>
    <x v="6"/>
    <d v="2026-08-18T00:00:00"/>
    <s v="Rahul 48"/>
    <x v="4"/>
    <x v="4"/>
    <x v="0"/>
    <n v="2"/>
    <n v="793"/>
    <n v="0.02"/>
    <n v="1554"/>
    <x v="2"/>
    <x v="1"/>
    <n v="155"/>
  </r>
  <r>
    <s v="ORD0033"/>
    <x v="11"/>
    <d v="2026-10-26T00:00:00"/>
    <s v="Ananya 86"/>
    <x v="0"/>
    <x v="8"/>
    <x v="0"/>
    <n v="1"/>
    <n v="194"/>
    <n v="0.15"/>
    <n v="164"/>
    <x v="2"/>
    <x v="0"/>
    <n v="16"/>
  </r>
  <r>
    <s v="ORD0034"/>
    <x v="0"/>
    <d v="2026-12-18T00:00:00"/>
    <s v="Sneha 57"/>
    <x v="4"/>
    <x v="3"/>
    <x v="0"/>
    <n v="1"/>
    <n v="453"/>
    <n v="0.05"/>
    <n v="430"/>
    <x v="1"/>
    <x v="1"/>
    <n v="146"/>
  </r>
  <r>
    <s v="ORD0035"/>
    <x v="1"/>
    <d v="2026-05-19T00:00:00"/>
    <s v="Rahul 51"/>
    <x v="3"/>
    <x v="2"/>
    <x v="0"/>
    <n v="4"/>
    <n v="310"/>
    <n v="0.06"/>
    <n v="1165"/>
    <x v="0"/>
    <x v="1"/>
    <n v="372"/>
  </r>
  <r>
    <s v="ORD0036"/>
    <x v="3"/>
    <d v="2026-11-02T00:00:00"/>
    <s v="Priya 1"/>
    <x v="3"/>
    <x v="7"/>
    <x v="0"/>
    <n v="2"/>
    <n v="191"/>
    <n v="0.14000000000000001"/>
    <n v="328"/>
    <x v="1"/>
    <x v="2"/>
    <n v="72"/>
  </r>
  <r>
    <s v="ORD0037"/>
    <x v="1"/>
    <d v="2026-05-08T00:00:00"/>
    <s v="Riya 69"/>
    <x v="4"/>
    <x v="6"/>
    <x v="0"/>
    <n v="4"/>
    <n v="81"/>
    <n v="0.11"/>
    <n v="288"/>
    <x v="2"/>
    <x v="0"/>
    <n v="100"/>
  </r>
  <r>
    <s v="ORD0038"/>
    <x v="4"/>
    <d v="2026-09-27T00:00:00"/>
    <s v="Sneha 52"/>
    <x v="2"/>
    <x v="8"/>
    <x v="0"/>
    <n v="5"/>
    <n v="549"/>
    <n v="0.02"/>
    <n v="2690"/>
    <x v="1"/>
    <x v="0"/>
    <n v="887"/>
  </r>
  <r>
    <s v="ORD0039"/>
    <x v="9"/>
    <d v="2026-03-01T00:00:00"/>
    <s v="Ananya 22"/>
    <x v="4"/>
    <x v="0"/>
    <x v="0"/>
    <n v="2"/>
    <n v="273"/>
    <n v="0.13"/>
    <n v="475"/>
    <x v="2"/>
    <x v="0"/>
    <n v="99"/>
  </r>
  <r>
    <s v="ORD0040"/>
    <x v="5"/>
    <d v="2026-07-02T00:00:00"/>
    <s v="Rahul 33"/>
    <x v="1"/>
    <x v="5"/>
    <x v="0"/>
    <n v="3"/>
    <n v="217"/>
    <n v="0.01"/>
    <n v="644"/>
    <x v="2"/>
    <x v="2"/>
    <n v="173"/>
  </r>
  <r>
    <s v="ORD0041"/>
    <x v="1"/>
    <d v="2026-05-24T00:00:00"/>
    <s v="Priya 31"/>
    <x v="2"/>
    <x v="9"/>
    <x v="0"/>
    <n v="4"/>
    <n v="403"/>
    <n v="0.09"/>
    <n v="1466"/>
    <x v="2"/>
    <x v="2"/>
    <n v="381"/>
  </r>
  <r>
    <s v="ORD0042"/>
    <x v="0"/>
    <d v="2026-12-04T00:00:00"/>
    <s v="Sneha 75"/>
    <x v="0"/>
    <x v="6"/>
    <x v="0"/>
    <n v="1"/>
    <n v="321"/>
    <n v="0.12"/>
    <n v="282"/>
    <x v="3"/>
    <x v="1"/>
    <n v="90"/>
  </r>
  <r>
    <s v="ORD0043"/>
    <x v="4"/>
    <d v="2026-09-14T00:00:00"/>
    <s v="Priya 68"/>
    <x v="1"/>
    <x v="5"/>
    <x v="0"/>
    <n v="3"/>
    <n v="171"/>
    <n v="0.16"/>
    <n v="430"/>
    <x v="3"/>
    <x v="2"/>
    <n v="124"/>
  </r>
  <r>
    <s v="ORD0044"/>
    <x v="11"/>
    <d v="2026-10-03T00:00:00"/>
    <s v="Aarav 8"/>
    <x v="2"/>
    <x v="7"/>
    <x v="0"/>
    <n v="1"/>
    <n v="551"/>
    <n v="0.09"/>
    <n v="501"/>
    <x v="0"/>
    <x v="0"/>
    <n v="175"/>
  </r>
  <r>
    <s v="ORD0045"/>
    <x v="2"/>
    <d v="2026-02-27T00:00:00"/>
    <s v="Rahul 81"/>
    <x v="1"/>
    <x v="5"/>
    <x v="0"/>
    <n v="1"/>
    <n v="349"/>
    <n v="0.09"/>
    <n v="317"/>
    <x v="1"/>
    <x v="1"/>
    <n v="72"/>
  </r>
  <r>
    <s v="ORD0046"/>
    <x v="0"/>
    <d v="2026-12-23T00:00:00"/>
    <s v="Vikram 18"/>
    <x v="2"/>
    <x v="8"/>
    <x v="0"/>
    <n v="4"/>
    <n v="113"/>
    <n v="0.16"/>
    <n v="379"/>
    <x v="0"/>
    <x v="2"/>
    <n v="106"/>
  </r>
  <r>
    <s v="ORD0047"/>
    <x v="0"/>
    <d v="2026-12-27T00:00:00"/>
    <s v="Aarav 70"/>
    <x v="1"/>
    <x v="7"/>
    <x v="0"/>
    <n v="2"/>
    <n v="478"/>
    <n v="0.02"/>
    <n v="936"/>
    <x v="1"/>
    <x v="2"/>
    <n v="93"/>
  </r>
  <r>
    <s v="ORD0048"/>
    <x v="0"/>
    <d v="2026-12-26T00:00:00"/>
    <s v="Sneha 62"/>
    <x v="1"/>
    <x v="6"/>
    <x v="0"/>
    <n v="2"/>
    <n v="726"/>
    <n v="7.0000000000000007E-2"/>
    <n v="1350"/>
    <x v="0"/>
    <x v="1"/>
    <n v="432"/>
  </r>
  <r>
    <s v="ORD0049"/>
    <x v="4"/>
    <d v="2026-09-27T00:00:00"/>
    <s v="Priya 40"/>
    <x v="2"/>
    <x v="0"/>
    <x v="0"/>
    <n v="3"/>
    <n v="247"/>
    <n v="0.18"/>
    <n v="607"/>
    <x v="1"/>
    <x v="0"/>
    <n v="182"/>
  </r>
  <r>
    <s v="ORD0050"/>
    <x v="4"/>
    <d v="2026-09-02T00:00:00"/>
    <s v="Sneha 23"/>
    <x v="4"/>
    <x v="0"/>
    <x v="0"/>
    <n v="3"/>
    <n v="303"/>
    <n v="0.18"/>
    <n v="745"/>
    <x v="3"/>
    <x v="1"/>
    <n v="230"/>
  </r>
  <r>
    <s v="ORD0051"/>
    <x v="10"/>
    <d v="2026-01-02T00:00:00"/>
    <s v="Sneha 37"/>
    <x v="1"/>
    <x v="4"/>
    <x v="0"/>
    <n v="3"/>
    <n v="140"/>
    <n v="0.18"/>
    <n v="344"/>
    <x v="1"/>
    <x v="2"/>
    <n v="34"/>
  </r>
  <r>
    <s v="ORD0052"/>
    <x v="3"/>
    <d v="2026-11-17T00:00:00"/>
    <s v="Ananya 11"/>
    <x v="2"/>
    <x v="2"/>
    <x v="0"/>
    <n v="3"/>
    <n v="243"/>
    <n v="0.09"/>
    <n v="663"/>
    <x v="2"/>
    <x v="1"/>
    <n v="172"/>
  </r>
  <r>
    <s v="ORD0053"/>
    <x v="7"/>
    <d v="2026-04-05T00:00:00"/>
    <s v="Sneha 58"/>
    <x v="0"/>
    <x v="10"/>
    <x v="0"/>
    <n v="4"/>
    <n v="293"/>
    <n v="0.11"/>
    <n v="1043"/>
    <x v="0"/>
    <x v="2"/>
    <n v="323"/>
  </r>
  <r>
    <s v="ORD0054"/>
    <x v="11"/>
    <d v="2026-10-06T00:00:00"/>
    <s v="Aarav 35"/>
    <x v="2"/>
    <x v="0"/>
    <x v="0"/>
    <n v="4"/>
    <n v="449"/>
    <n v="7.0000000000000007E-2"/>
    <n v="1670"/>
    <x v="1"/>
    <x v="2"/>
    <n v="334"/>
  </r>
  <r>
    <s v="ORD0055"/>
    <x v="11"/>
    <d v="2026-10-01T00:00:00"/>
    <s v="Riya 43"/>
    <x v="3"/>
    <x v="0"/>
    <x v="0"/>
    <n v="4"/>
    <n v="272"/>
    <n v="7.0000000000000007E-2"/>
    <n v="1011"/>
    <x v="0"/>
    <x v="1"/>
    <n v="343"/>
  </r>
  <r>
    <s v="ORD0056"/>
    <x v="5"/>
    <d v="2026-07-24T00:00:00"/>
    <s v="Aarav 56"/>
    <x v="2"/>
    <x v="5"/>
    <x v="0"/>
    <n v="3"/>
    <n v="143"/>
    <n v="0.08"/>
    <n v="394"/>
    <x v="2"/>
    <x v="1"/>
    <n v="102"/>
  </r>
  <r>
    <s v="ORD0057"/>
    <x v="3"/>
    <d v="2026-11-10T00:00:00"/>
    <s v="Vikram 99"/>
    <x v="1"/>
    <x v="5"/>
    <x v="0"/>
    <n v="5"/>
    <n v="699"/>
    <n v="0.17"/>
    <n v="2900"/>
    <x v="1"/>
    <x v="0"/>
    <n v="464"/>
  </r>
  <r>
    <s v="ORD0058"/>
    <x v="11"/>
    <d v="2026-10-02T00:00:00"/>
    <s v="Aarav 13"/>
    <x v="1"/>
    <x v="7"/>
    <x v="0"/>
    <n v="4"/>
    <n v="125"/>
    <n v="0.19"/>
    <n v="405"/>
    <x v="1"/>
    <x v="1"/>
    <n v="48"/>
  </r>
  <r>
    <s v="ORD0059"/>
    <x v="0"/>
    <d v="2026-12-10T00:00:00"/>
    <s v="Rahul 12"/>
    <x v="3"/>
    <x v="8"/>
    <x v="0"/>
    <n v="5"/>
    <n v="350"/>
    <n v="0.12"/>
    <n v="1540"/>
    <x v="0"/>
    <x v="2"/>
    <n v="277"/>
  </r>
  <r>
    <s v="ORD0060"/>
    <x v="6"/>
    <d v="2026-08-07T00:00:00"/>
    <s v="Rahul 65"/>
    <x v="2"/>
    <x v="6"/>
    <x v="0"/>
    <n v="3"/>
    <n v="463"/>
    <n v="0.13"/>
    <n v="1208"/>
    <x v="1"/>
    <x v="2"/>
    <n v="144"/>
  </r>
  <r>
    <s v="ORD0061"/>
    <x v="0"/>
    <d v="2026-12-03T00:00:00"/>
    <s v="Rahul 92"/>
    <x v="0"/>
    <x v="3"/>
    <x v="0"/>
    <n v="1"/>
    <n v="117"/>
    <n v="0.15"/>
    <n v="99"/>
    <x v="3"/>
    <x v="1"/>
    <n v="12"/>
  </r>
  <r>
    <s v="ORD0062"/>
    <x v="6"/>
    <d v="2026-08-27T00:00:00"/>
    <s v="Riya 72"/>
    <x v="1"/>
    <x v="8"/>
    <x v="0"/>
    <n v="2"/>
    <n v="690"/>
    <n v="0.03"/>
    <n v="1338"/>
    <x v="1"/>
    <x v="0"/>
    <n v="414"/>
  </r>
  <r>
    <s v="ORD0063"/>
    <x v="7"/>
    <d v="2026-04-22T00:00:00"/>
    <s v="Riya 8"/>
    <x v="1"/>
    <x v="5"/>
    <x v="0"/>
    <n v="4"/>
    <n v="405"/>
    <n v="0.13"/>
    <n v="1409"/>
    <x v="0"/>
    <x v="0"/>
    <n v="394"/>
  </r>
  <r>
    <s v="ORD0064"/>
    <x v="5"/>
    <d v="2026-07-07T00:00:00"/>
    <s v="Rahul 24"/>
    <x v="1"/>
    <x v="6"/>
    <x v="0"/>
    <n v="3"/>
    <n v="203"/>
    <n v="0.01"/>
    <n v="602"/>
    <x v="0"/>
    <x v="1"/>
    <n v="108"/>
  </r>
  <r>
    <s v="ORD0065"/>
    <x v="3"/>
    <d v="2026-11-08T00:00:00"/>
    <s v="Karan 86"/>
    <x v="0"/>
    <x v="5"/>
    <x v="0"/>
    <n v="4"/>
    <n v="373"/>
    <n v="0"/>
    <n v="1492"/>
    <x v="1"/>
    <x v="2"/>
    <n v="373"/>
  </r>
  <r>
    <s v="ORD0066"/>
    <x v="9"/>
    <d v="2026-03-16T00:00:00"/>
    <s v="Aarav 72"/>
    <x v="2"/>
    <x v="0"/>
    <x v="0"/>
    <n v="2"/>
    <n v="757"/>
    <n v="0.03"/>
    <n v="1468"/>
    <x v="3"/>
    <x v="1"/>
    <n v="322"/>
  </r>
  <r>
    <s v="ORD0067"/>
    <x v="9"/>
    <d v="2026-03-14T00:00:00"/>
    <s v="Ananya 44"/>
    <x v="4"/>
    <x v="5"/>
    <x v="0"/>
    <n v="1"/>
    <n v="589"/>
    <n v="0.13"/>
    <n v="512"/>
    <x v="1"/>
    <x v="0"/>
    <n v="153"/>
  </r>
  <r>
    <s v="ORD0068"/>
    <x v="6"/>
    <d v="2026-08-18T00:00:00"/>
    <s v="Ananya 95"/>
    <x v="2"/>
    <x v="9"/>
    <x v="0"/>
    <n v="3"/>
    <n v="145"/>
    <n v="0.19"/>
    <n v="352"/>
    <x v="2"/>
    <x v="0"/>
    <n v="77"/>
  </r>
  <r>
    <s v="ORD0069"/>
    <x v="3"/>
    <d v="2026-11-21T00:00:00"/>
    <s v="Riya 92"/>
    <x v="3"/>
    <x v="8"/>
    <x v="0"/>
    <n v="1"/>
    <n v="406"/>
    <n v="0.09"/>
    <n v="369"/>
    <x v="0"/>
    <x v="2"/>
    <n v="118"/>
  </r>
  <r>
    <s v="ORD0070"/>
    <x v="4"/>
    <d v="2026-09-05T00:00:00"/>
    <s v="Karan 34"/>
    <x v="1"/>
    <x v="2"/>
    <x v="0"/>
    <n v="1"/>
    <n v="280"/>
    <n v="0.19"/>
    <n v="226"/>
    <x v="0"/>
    <x v="1"/>
    <n v="63"/>
  </r>
  <r>
    <s v="ORD0071"/>
    <x v="1"/>
    <d v="2026-05-13T00:00:00"/>
    <s v="Riya 10"/>
    <x v="0"/>
    <x v="7"/>
    <x v="0"/>
    <n v="1"/>
    <n v="545"/>
    <n v="0"/>
    <n v="545"/>
    <x v="3"/>
    <x v="0"/>
    <n v="98"/>
  </r>
  <r>
    <s v="ORD0072"/>
    <x v="6"/>
    <d v="2026-08-28T00:00:00"/>
    <s v="Ananya 40"/>
    <x v="1"/>
    <x v="0"/>
    <x v="0"/>
    <n v="2"/>
    <n v="264"/>
    <n v="0.04"/>
    <n v="506"/>
    <x v="2"/>
    <x v="0"/>
    <n v="141"/>
  </r>
  <r>
    <s v="ORD0073"/>
    <x v="10"/>
    <d v="2026-01-26T00:00:00"/>
    <s v="Ananya 8"/>
    <x v="1"/>
    <x v="5"/>
    <x v="0"/>
    <n v="3"/>
    <n v="207"/>
    <n v="0.17"/>
    <n v="515"/>
    <x v="3"/>
    <x v="0"/>
    <n v="149"/>
  </r>
  <r>
    <s v="ORD0074"/>
    <x v="1"/>
    <d v="2026-05-14T00:00:00"/>
    <s v="Vikram 45"/>
    <x v="4"/>
    <x v="4"/>
    <x v="0"/>
    <n v="3"/>
    <n v="485"/>
    <n v="0.08"/>
    <n v="1338"/>
    <x v="3"/>
    <x v="1"/>
    <n v="468"/>
  </r>
  <r>
    <s v="ORD0075"/>
    <x v="0"/>
    <d v="2026-12-19T00:00:00"/>
    <s v="Karan 98"/>
    <x v="4"/>
    <x v="10"/>
    <x v="0"/>
    <n v="3"/>
    <n v="375"/>
    <n v="0.01"/>
    <n v="1113"/>
    <x v="3"/>
    <x v="2"/>
    <n v="356"/>
  </r>
  <r>
    <s v="ORD0076"/>
    <x v="6"/>
    <d v="2026-08-22T00:00:00"/>
    <s v="Ananya 93"/>
    <x v="0"/>
    <x v="5"/>
    <x v="0"/>
    <n v="3"/>
    <n v="329"/>
    <n v="0.11"/>
    <n v="878"/>
    <x v="0"/>
    <x v="0"/>
    <n v="228"/>
  </r>
  <r>
    <s v="ORD0077"/>
    <x v="3"/>
    <d v="2026-11-07T00:00:00"/>
    <s v="Riya 15"/>
    <x v="3"/>
    <x v="8"/>
    <x v="0"/>
    <n v="3"/>
    <n v="356"/>
    <n v="0.02"/>
    <n v="1046"/>
    <x v="0"/>
    <x v="2"/>
    <n v="282"/>
  </r>
  <r>
    <s v="ORD0078"/>
    <x v="4"/>
    <d v="2026-09-22T00:00:00"/>
    <s v="Ananya 99"/>
    <x v="0"/>
    <x v="1"/>
    <x v="0"/>
    <n v="1"/>
    <n v="97"/>
    <n v="0.12"/>
    <n v="85"/>
    <x v="0"/>
    <x v="1"/>
    <n v="17"/>
  </r>
  <r>
    <s v="ORD0079"/>
    <x v="11"/>
    <d v="2026-10-20T00:00:00"/>
    <s v="Sneha 2"/>
    <x v="4"/>
    <x v="1"/>
    <x v="0"/>
    <n v="1"/>
    <n v="207"/>
    <n v="0.05"/>
    <n v="196"/>
    <x v="0"/>
    <x v="1"/>
    <n v="29"/>
  </r>
  <r>
    <s v="ORD0080"/>
    <x v="1"/>
    <d v="2026-05-16T00:00:00"/>
    <s v="Priya 48"/>
    <x v="4"/>
    <x v="5"/>
    <x v="0"/>
    <n v="2"/>
    <n v="373"/>
    <n v="7.0000000000000007E-2"/>
    <n v="693"/>
    <x v="2"/>
    <x v="0"/>
    <n v="228"/>
  </r>
  <r>
    <s v="ORD0081"/>
    <x v="2"/>
    <d v="2026-02-04T00:00:00"/>
    <s v="Riya 96"/>
    <x v="4"/>
    <x v="9"/>
    <x v="0"/>
    <n v="5"/>
    <n v="767"/>
    <n v="0.11"/>
    <n v="3413"/>
    <x v="3"/>
    <x v="2"/>
    <n v="853"/>
  </r>
  <r>
    <s v="ORD0082"/>
    <x v="5"/>
    <d v="2026-07-11T00:00:00"/>
    <s v="Rahul 90"/>
    <x v="0"/>
    <x v="0"/>
    <x v="0"/>
    <n v="4"/>
    <n v="228"/>
    <n v="0.09"/>
    <n v="829"/>
    <x v="2"/>
    <x v="2"/>
    <n v="290"/>
  </r>
  <r>
    <s v="ORD0083"/>
    <x v="6"/>
    <d v="2026-08-10T00:00:00"/>
    <s v="Rahul 67"/>
    <x v="0"/>
    <x v="9"/>
    <x v="0"/>
    <n v="5"/>
    <n v="477"/>
    <n v="0.04"/>
    <n v="2289"/>
    <x v="0"/>
    <x v="1"/>
    <n v="640"/>
  </r>
  <r>
    <s v="ORD0084"/>
    <x v="5"/>
    <d v="2026-07-03T00:00:00"/>
    <s v="Riya 4"/>
    <x v="4"/>
    <x v="6"/>
    <x v="0"/>
    <n v="3"/>
    <n v="712"/>
    <n v="0"/>
    <n v="2136"/>
    <x v="1"/>
    <x v="2"/>
    <n v="320"/>
  </r>
  <r>
    <s v="ORD0085"/>
    <x v="5"/>
    <d v="2026-07-28T00:00:00"/>
    <s v="Rahul 99"/>
    <x v="4"/>
    <x v="6"/>
    <x v="0"/>
    <n v="1"/>
    <n v="192"/>
    <n v="0.13"/>
    <n v="167"/>
    <x v="3"/>
    <x v="0"/>
    <n v="48"/>
  </r>
  <r>
    <s v="ORD0086"/>
    <x v="1"/>
    <d v="2026-05-20T00:00:00"/>
    <s v="Aarav 13"/>
    <x v="3"/>
    <x v="10"/>
    <x v="0"/>
    <n v="5"/>
    <n v="773"/>
    <n v="0.19"/>
    <n v="3130"/>
    <x v="1"/>
    <x v="1"/>
    <n v="563"/>
  </r>
  <r>
    <s v="ORD0087"/>
    <x v="3"/>
    <d v="2026-11-25T00:00:00"/>
    <s v="Rahul 11"/>
    <x v="3"/>
    <x v="9"/>
    <x v="0"/>
    <n v="2"/>
    <n v="257"/>
    <n v="0.04"/>
    <n v="493"/>
    <x v="0"/>
    <x v="2"/>
    <n v="78"/>
  </r>
  <r>
    <s v="ORD0088"/>
    <x v="11"/>
    <d v="2026-10-12T00:00:00"/>
    <s v="Riya 99"/>
    <x v="4"/>
    <x v="8"/>
    <x v="0"/>
    <n v="4"/>
    <n v="751"/>
    <n v="0"/>
    <n v="3004"/>
    <x v="3"/>
    <x v="0"/>
    <n v="600"/>
  </r>
  <r>
    <s v="ORD0089"/>
    <x v="2"/>
    <d v="2026-02-28T00:00:00"/>
    <s v="Riya 23"/>
    <x v="1"/>
    <x v="10"/>
    <x v="0"/>
    <n v="4"/>
    <n v="370"/>
    <n v="0.16"/>
    <n v="1243"/>
    <x v="0"/>
    <x v="0"/>
    <n v="273"/>
  </r>
  <r>
    <s v="ORD0090"/>
    <x v="7"/>
    <d v="2026-04-28T00:00:00"/>
    <s v="Rahul 14"/>
    <x v="2"/>
    <x v="7"/>
    <x v="0"/>
    <n v="4"/>
    <n v="180"/>
    <n v="0.02"/>
    <n v="705"/>
    <x v="1"/>
    <x v="1"/>
    <n v="98"/>
  </r>
  <r>
    <s v="ORD0091"/>
    <x v="1"/>
    <d v="2026-05-23T00:00:00"/>
    <s v="Aarav 27"/>
    <x v="2"/>
    <x v="3"/>
    <x v="0"/>
    <n v="5"/>
    <n v="191"/>
    <n v="0.15"/>
    <n v="811"/>
    <x v="3"/>
    <x v="1"/>
    <n v="105"/>
  </r>
  <r>
    <s v="ORD0092"/>
    <x v="2"/>
    <d v="2026-02-19T00:00:00"/>
    <s v="Karan 22"/>
    <x v="1"/>
    <x v="7"/>
    <x v="0"/>
    <n v="5"/>
    <n v="632"/>
    <n v="0.18"/>
    <n v="2591"/>
    <x v="1"/>
    <x v="2"/>
    <n v="388"/>
  </r>
  <r>
    <s v="ORD0093"/>
    <x v="5"/>
    <d v="2026-07-25T00:00:00"/>
    <s v="Ananya 39"/>
    <x v="3"/>
    <x v="0"/>
    <x v="0"/>
    <n v="3"/>
    <n v="369"/>
    <n v="0.09"/>
    <n v="1007"/>
    <x v="2"/>
    <x v="2"/>
    <n v="251"/>
  </r>
  <r>
    <s v="ORD0094"/>
    <x v="10"/>
    <d v="2026-01-15T00:00:00"/>
    <s v="Aarav 40"/>
    <x v="3"/>
    <x v="9"/>
    <x v="0"/>
    <n v="1"/>
    <n v="277"/>
    <n v="0.15"/>
    <n v="235"/>
    <x v="3"/>
    <x v="0"/>
    <n v="25"/>
  </r>
  <r>
    <s v="ORD0095"/>
    <x v="0"/>
    <d v="2026-12-20T00:00:00"/>
    <s v="Priya 83"/>
    <x v="1"/>
    <x v="8"/>
    <x v="0"/>
    <n v="5"/>
    <n v="492"/>
    <n v="0.13"/>
    <n v="2140"/>
    <x v="3"/>
    <x v="2"/>
    <n v="513"/>
  </r>
  <r>
    <s v="ORD0096"/>
    <x v="3"/>
    <d v="2026-11-28T00:00:00"/>
    <s v="Riya 53"/>
    <x v="3"/>
    <x v="4"/>
    <x v="0"/>
    <n v="5"/>
    <n v="168"/>
    <n v="0.2"/>
    <n v="672"/>
    <x v="1"/>
    <x v="0"/>
    <n v="80"/>
  </r>
  <r>
    <s v="ORD0097"/>
    <x v="1"/>
    <d v="2026-05-13T00:00:00"/>
    <s v="Riya 48"/>
    <x v="0"/>
    <x v="0"/>
    <x v="0"/>
    <n v="4"/>
    <n v="585"/>
    <n v="0.04"/>
    <n v="2246"/>
    <x v="1"/>
    <x v="1"/>
    <n v="381"/>
  </r>
  <r>
    <s v="ORD0098"/>
    <x v="2"/>
    <d v="2026-02-03T00:00:00"/>
    <s v="Vikram 39"/>
    <x v="0"/>
    <x v="4"/>
    <x v="0"/>
    <n v="3"/>
    <n v="754"/>
    <n v="0.11"/>
    <n v="2013"/>
    <x v="0"/>
    <x v="0"/>
    <n v="563"/>
  </r>
  <r>
    <s v="ORD0099"/>
    <x v="4"/>
    <d v="2026-09-28T00:00:00"/>
    <s v="Rahul 76"/>
    <x v="0"/>
    <x v="2"/>
    <x v="0"/>
    <n v="1"/>
    <n v="624"/>
    <n v="0.02"/>
    <n v="611"/>
    <x v="1"/>
    <x v="2"/>
    <n v="109"/>
  </r>
  <r>
    <s v="ORD0100"/>
    <x v="8"/>
    <d v="2026-06-11T00:00:00"/>
    <s v="Rahul 92"/>
    <x v="3"/>
    <x v="1"/>
    <x v="0"/>
    <n v="4"/>
    <n v="510"/>
    <n v="0.04"/>
    <n v="1958"/>
    <x v="2"/>
    <x v="0"/>
    <n v="411"/>
  </r>
  <r>
    <s v="ORD0101"/>
    <x v="3"/>
    <d v="2026-11-04T00:00:00"/>
    <s v="Priya 17"/>
    <x v="0"/>
    <x v="10"/>
    <x v="0"/>
    <n v="4"/>
    <n v="502"/>
    <n v="0.05"/>
    <n v="1907"/>
    <x v="1"/>
    <x v="0"/>
    <n v="457"/>
  </r>
  <r>
    <s v="ORD0102"/>
    <x v="1"/>
    <d v="2026-05-01T00:00:00"/>
    <s v="Ananya 36"/>
    <x v="2"/>
    <x v="8"/>
    <x v="0"/>
    <n v="5"/>
    <n v="720"/>
    <n v="0"/>
    <n v="3600"/>
    <x v="3"/>
    <x v="0"/>
    <n v="1116"/>
  </r>
  <r>
    <s v="ORD0103"/>
    <x v="5"/>
    <d v="2026-07-10T00:00:00"/>
    <s v="Riya 48"/>
    <x v="1"/>
    <x v="1"/>
    <x v="0"/>
    <n v="1"/>
    <n v="91"/>
    <n v="0.19"/>
    <n v="73"/>
    <x v="0"/>
    <x v="0"/>
    <n v="20"/>
  </r>
  <r>
    <s v="ORD0104"/>
    <x v="0"/>
    <d v="2026-12-19T00:00:00"/>
    <s v="Karan 52"/>
    <x v="1"/>
    <x v="9"/>
    <x v="0"/>
    <n v="5"/>
    <n v="499"/>
    <n v="0.2"/>
    <n v="1996"/>
    <x v="2"/>
    <x v="0"/>
    <n v="578"/>
  </r>
  <r>
    <s v="ORD0105"/>
    <x v="9"/>
    <d v="2026-03-11T00:00:00"/>
    <s v="Karan 70"/>
    <x v="0"/>
    <x v="7"/>
    <x v="0"/>
    <n v="1"/>
    <n v="147"/>
    <n v="0.13"/>
    <n v="127"/>
    <x v="3"/>
    <x v="2"/>
    <n v="15"/>
  </r>
  <r>
    <s v="ORD0106"/>
    <x v="4"/>
    <d v="2026-09-07T00:00:00"/>
    <s v="Riya 23"/>
    <x v="2"/>
    <x v="3"/>
    <x v="0"/>
    <n v="4"/>
    <n v="507"/>
    <n v="7.0000000000000007E-2"/>
    <n v="1886"/>
    <x v="0"/>
    <x v="1"/>
    <n v="528"/>
  </r>
  <r>
    <s v="ORD0107"/>
    <x v="0"/>
    <d v="2026-12-19T00:00:00"/>
    <s v="Rahul 68"/>
    <x v="1"/>
    <x v="2"/>
    <x v="0"/>
    <n v="2"/>
    <n v="199"/>
    <n v="0.16"/>
    <n v="334"/>
    <x v="2"/>
    <x v="1"/>
    <n v="66"/>
  </r>
  <r>
    <s v="ORD0108"/>
    <x v="9"/>
    <d v="2026-03-17T00:00:00"/>
    <s v="Karan 79"/>
    <x v="4"/>
    <x v="8"/>
    <x v="0"/>
    <n v="2"/>
    <n v="651"/>
    <n v="0.03"/>
    <n v="1262"/>
    <x v="2"/>
    <x v="0"/>
    <n v="416"/>
  </r>
  <r>
    <s v="ORD0109"/>
    <x v="0"/>
    <d v="2026-12-27T00:00:00"/>
    <s v="Ananya 68"/>
    <x v="4"/>
    <x v="3"/>
    <x v="0"/>
    <n v="1"/>
    <n v="606"/>
    <n v="0.11"/>
    <n v="539"/>
    <x v="2"/>
    <x v="0"/>
    <n v="118"/>
  </r>
  <r>
    <s v="ORD0110"/>
    <x v="1"/>
    <d v="2026-05-20T00:00:00"/>
    <s v="Vikram 97"/>
    <x v="4"/>
    <x v="7"/>
    <x v="0"/>
    <n v="4"/>
    <n v="444"/>
    <n v="0.12"/>
    <n v="1562"/>
    <x v="0"/>
    <x v="1"/>
    <n v="515"/>
  </r>
  <r>
    <s v="ORD0111"/>
    <x v="1"/>
    <d v="2026-05-21T00:00:00"/>
    <s v="Aarav 22"/>
    <x v="4"/>
    <x v="8"/>
    <x v="0"/>
    <n v="4"/>
    <n v="462"/>
    <n v="0.2"/>
    <n v="1478"/>
    <x v="2"/>
    <x v="2"/>
    <n v="399"/>
  </r>
  <r>
    <s v="ORD0112"/>
    <x v="11"/>
    <d v="2026-10-26T00:00:00"/>
    <s v="Vikram 78"/>
    <x v="2"/>
    <x v="0"/>
    <x v="0"/>
    <n v="2"/>
    <n v="142"/>
    <n v="0"/>
    <n v="284"/>
    <x v="1"/>
    <x v="0"/>
    <n v="36"/>
  </r>
  <r>
    <s v="ORD0113"/>
    <x v="7"/>
    <d v="2026-04-16T00:00:00"/>
    <s v="Karan 31"/>
    <x v="2"/>
    <x v="3"/>
    <x v="0"/>
    <n v="5"/>
    <n v="283"/>
    <n v="0.08"/>
    <n v="1301"/>
    <x v="0"/>
    <x v="0"/>
    <n v="299"/>
  </r>
  <r>
    <s v="ORD0114"/>
    <x v="5"/>
    <d v="2026-07-21T00:00:00"/>
    <s v="Aarav 52"/>
    <x v="3"/>
    <x v="7"/>
    <x v="0"/>
    <n v="4"/>
    <n v="507"/>
    <n v="0.1"/>
    <n v="1825"/>
    <x v="1"/>
    <x v="2"/>
    <n v="346"/>
  </r>
  <r>
    <s v="ORD0115"/>
    <x v="8"/>
    <d v="2026-06-12T00:00:00"/>
    <s v="Priya 86"/>
    <x v="3"/>
    <x v="3"/>
    <x v="0"/>
    <n v="2"/>
    <n v="545"/>
    <n v="0.11"/>
    <n v="970"/>
    <x v="0"/>
    <x v="1"/>
    <n v="155"/>
  </r>
  <r>
    <s v="ORD0116"/>
    <x v="2"/>
    <d v="2026-02-05T00:00:00"/>
    <s v="Sneha 85"/>
    <x v="1"/>
    <x v="5"/>
    <x v="0"/>
    <n v="2"/>
    <n v="648"/>
    <n v="0.1"/>
    <n v="1166"/>
    <x v="3"/>
    <x v="1"/>
    <n v="396"/>
  </r>
  <r>
    <s v="ORD0117"/>
    <x v="11"/>
    <d v="2026-10-08T00:00:00"/>
    <s v="Aarav 57"/>
    <x v="1"/>
    <x v="9"/>
    <x v="0"/>
    <n v="5"/>
    <n v="415"/>
    <n v="0.15"/>
    <n v="1763"/>
    <x v="3"/>
    <x v="1"/>
    <n v="440"/>
  </r>
  <r>
    <s v="ORD0118"/>
    <x v="11"/>
    <d v="2026-10-06T00:00:00"/>
    <s v="Riya 87"/>
    <x v="2"/>
    <x v="0"/>
    <x v="0"/>
    <n v="2"/>
    <n v="579"/>
    <n v="0.01"/>
    <n v="1146"/>
    <x v="1"/>
    <x v="2"/>
    <n v="114"/>
  </r>
  <r>
    <s v="ORD0119"/>
    <x v="1"/>
    <d v="2026-05-01T00:00:00"/>
    <s v="Aarav 96"/>
    <x v="4"/>
    <x v="10"/>
    <x v="0"/>
    <n v="2"/>
    <n v="372"/>
    <n v="0.11"/>
    <n v="662"/>
    <x v="1"/>
    <x v="1"/>
    <n v="66"/>
  </r>
  <r>
    <s v="ORD0120"/>
    <x v="4"/>
    <d v="2026-09-23T00:00:00"/>
    <s v="Rahul 20"/>
    <x v="0"/>
    <x v="2"/>
    <x v="0"/>
    <n v="2"/>
    <n v="393"/>
    <n v="0.2"/>
    <n v="628"/>
    <x v="3"/>
    <x v="0"/>
    <n v="113"/>
  </r>
  <r>
    <s v="ORD0121"/>
    <x v="0"/>
    <d v="2026-12-27T00:00:00"/>
    <s v="Ananya 71"/>
    <x v="0"/>
    <x v="1"/>
    <x v="0"/>
    <n v="1"/>
    <n v="123"/>
    <n v="0.1"/>
    <n v="110"/>
    <x v="3"/>
    <x v="1"/>
    <n v="19"/>
  </r>
  <r>
    <s v="ORD0122"/>
    <x v="8"/>
    <d v="2026-06-20T00:00:00"/>
    <s v="Priya 73"/>
    <x v="2"/>
    <x v="8"/>
    <x v="0"/>
    <n v="5"/>
    <n v="609"/>
    <n v="0"/>
    <n v="3045"/>
    <x v="2"/>
    <x v="2"/>
    <n v="609"/>
  </r>
  <r>
    <s v="ORD0123"/>
    <x v="0"/>
    <d v="2026-12-22T00:00:00"/>
    <s v="Sneha 56"/>
    <x v="1"/>
    <x v="4"/>
    <x v="0"/>
    <n v="3"/>
    <n v="543"/>
    <n v="0.15"/>
    <n v="1384"/>
    <x v="1"/>
    <x v="2"/>
    <n v="166"/>
  </r>
  <r>
    <s v="ORD0124"/>
    <x v="3"/>
    <d v="2026-11-05T00:00:00"/>
    <s v="Ananya 54"/>
    <x v="2"/>
    <x v="8"/>
    <x v="0"/>
    <n v="5"/>
    <n v="358"/>
    <n v="0.19"/>
    <n v="1449"/>
    <x v="1"/>
    <x v="2"/>
    <n v="173"/>
  </r>
  <r>
    <s v="ORD0125"/>
    <x v="8"/>
    <d v="2026-06-12T00:00:00"/>
    <s v="Karan 16"/>
    <x v="3"/>
    <x v="7"/>
    <x v="0"/>
    <n v="4"/>
    <n v="164"/>
    <n v="0.05"/>
    <n v="623"/>
    <x v="3"/>
    <x v="1"/>
    <n v="118"/>
  </r>
  <r>
    <s v="ORD0126"/>
    <x v="9"/>
    <d v="2026-03-26T00:00:00"/>
    <s v="Rahul 89"/>
    <x v="2"/>
    <x v="2"/>
    <x v="0"/>
    <n v="2"/>
    <n v="279"/>
    <n v="0.08"/>
    <n v="513"/>
    <x v="3"/>
    <x v="0"/>
    <n v="128"/>
  </r>
  <r>
    <s v="ORD0127"/>
    <x v="7"/>
    <d v="2026-04-17T00:00:00"/>
    <s v="Karan 25"/>
    <x v="1"/>
    <x v="0"/>
    <x v="0"/>
    <n v="2"/>
    <n v="157"/>
    <n v="0.03"/>
    <n v="304"/>
    <x v="3"/>
    <x v="1"/>
    <n v="30"/>
  </r>
  <r>
    <s v="ORD0128"/>
    <x v="4"/>
    <d v="2026-09-25T00:00:00"/>
    <s v="Rahul 70"/>
    <x v="1"/>
    <x v="6"/>
    <x v="0"/>
    <n v="2"/>
    <n v="619"/>
    <n v="0.14000000000000001"/>
    <n v="1064"/>
    <x v="1"/>
    <x v="1"/>
    <n v="351"/>
  </r>
  <r>
    <s v="ORD0129"/>
    <x v="11"/>
    <d v="2026-10-11T00:00:00"/>
    <s v="Riya 83"/>
    <x v="3"/>
    <x v="4"/>
    <x v="0"/>
    <n v="4"/>
    <n v="410"/>
    <n v="0.1"/>
    <n v="1476"/>
    <x v="2"/>
    <x v="1"/>
    <n v="162"/>
  </r>
  <r>
    <s v="ORD0130"/>
    <x v="5"/>
    <d v="2026-07-19T00:00:00"/>
    <s v="Riya 33"/>
    <x v="0"/>
    <x v="0"/>
    <x v="0"/>
    <n v="2"/>
    <n v="669"/>
    <n v="0.05"/>
    <n v="1271"/>
    <x v="0"/>
    <x v="1"/>
    <n v="177"/>
  </r>
  <r>
    <s v="ORD0131"/>
    <x v="7"/>
    <d v="2026-04-27T00:00:00"/>
    <s v="Rahul 7"/>
    <x v="2"/>
    <x v="7"/>
    <x v="0"/>
    <n v="2"/>
    <n v="293"/>
    <n v="0.13"/>
    <n v="509"/>
    <x v="2"/>
    <x v="1"/>
    <n v="157"/>
  </r>
  <r>
    <s v="ORD0132"/>
    <x v="2"/>
    <d v="2026-02-19T00:00:00"/>
    <s v="Priya 32"/>
    <x v="0"/>
    <x v="4"/>
    <x v="0"/>
    <n v="3"/>
    <n v="650"/>
    <n v="0.08"/>
    <n v="1794"/>
    <x v="0"/>
    <x v="2"/>
    <n v="251"/>
  </r>
  <r>
    <s v="ORD0133"/>
    <x v="10"/>
    <d v="2026-01-03T00:00:00"/>
    <s v="Riya 41"/>
    <x v="1"/>
    <x v="5"/>
    <x v="0"/>
    <n v="1"/>
    <n v="169"/>
    <n v="0.08"/>
    <n v="155"/>
    <x v="3"/>
    <x v="1"/>
    <n v="20"/>
  </r>
  <r>
    <s v="ORD0134"/>
    <x v="3"/>
    <d v="2026-11-15T00:00:00"/>
    <s v="Vikram 52"/>
    <x v="3"/>
    <x v="9"/>
    <x v="0"/>
    <n v="2"/>
    <n v="102"/>
    <n v="0.15"/>
    <n v="173"/>
    <x v="3"/>
    <x v="2"/>
    <n v="34"/>
  </r>
  <r>
    <s v="ORD0135"/>
    <x v="11"/>
    <d v="2026-10-16T00:00:00"/>
    <s v="Vikram 94"/>
    <x v="2"/>
    <x v="7"/>
    <x v="0"/>
    <n v="1"/>
    <n v="644"/>
    <n v="0.02"/>
    <n v="631"/>
    <x v="3"/>
    <x v="2"/>
    <n v="100"/>
  </r>
  <r>
    <s v="ORD0136"/>
    <x v="10"/>
    <d v="2026-01-23T00:00:00"/>
    <s v="Vikram 14"/>
    <x v="2"/>
    <x v="10"/>
    <x v="0"/>
    <n v="1"/>
    <n v="245"/>
    <n v="0.1"/>
    <n v="220"/>
    <x v="1"/>
    <x v="1"/>
    <n v="30"/>
  </r>
  <r>
    <s v="ORD0137"/>
    <x v="4"/>
    <d v="2026-09-21T00:00:00"/>
    <s v="Vikram 79"/>
    <x v="1"/>
    <x v="4"/>
    <x v="0"/>
    <n v="3"/>
    <n v="681"/>
    <n v="0.18"/>
    <n v="1675"/>
    <x v="1"/>
    <x v="1"/>
    <n v="452"/>
  </r>
  <r>
    <s v="ORD0138"/>
    <x v="11"/>
    <d v="2026-10-17T00:00:00"/>
    <s v="Karan 99"/>
    <x v="0"/>
    <x v="6"/>
    <x v="0"/>
    <n v="4"/>
    <n v="590"/>
    <n v="0.1"/>
    <n v="2124"/>
    <x v="0"/>
    <x v="2"/>
    <n v="658"/>
  </r>
  <r>
    <s v="ORD0139"/>
    <x v="11"/>
    <d v="2026-10-25T00:00:00"/>
    <s v="Ananya 73"/>
    <x v="0"/>
    <x v="0"/>
    <x v="0"/>
    <n v="3"/>
    <n v="673"/>
    <n v="0.02"/>
    <n v="1978"/>
    <x v="2"/>
    <x v="0"/>
    <n v="514"/>
  </r>
  <r>
    <s v="ORD0140"/>
    <x v="6"/>
    <d v="2026-08-06T00:00:00"/>
    <s v="Priya 19"/>
    <x v="0"/>
    <x v="2"/>
    <x v="0"/>
    <n v="3"/>
    <n v="329"/>
    <n v="0.18"/>
    <n v="809"/>
    <x v="2"/>
    <x v="0"/>
    <n v="186"/>
  </r>
  <r>
    <s v="ORD0141"/>
    <x v="7"/>
    <d v="2026-04-01T00:00:00"/>
    <s v="Rahul 28"/>
    <x v="2"/>
    <x v="3"/>
    <x v="0"/>
    <n v="4"/>
    <n v="237"/>
    <n v="0"/>
    <n v="948"/>
    <x v="0"/>
    <x v="2"/>
    <n v="151"/>
  </r>
  <r>
    <s v="ORD0142"/>
    <x v="7"/>
    <d v="2026-04-07T00:00:00"/>
    <s v="Karan 80"/>
    <x v="2"/>
    <x v="4"/>
    <x v="0"/>
    <n v="2"/>
    <n v="380"/>
    <n v="0.16"/>
    <n v="638"/>
    <x v="3"/>
    <x v="1"/>
    <n v="140"/>
  </r>
  <r>
    <s v="ORD0143"/>
    <x v="2"/>
    <d v="2026-02-11T00:00:00"/>
    <s v="Karan 18"/>
    <x v="3"/>
    <x v="5"/>
    <x v="0"/>
    <n v="1"/>
    <n v="273"/>
    <n v="0.06"/>
    <n v="256"/>
    <x v="1"/>
    <x v="0"/>
    <n v="66"/>
  </r>
  <r>
    <s v="ORD0144"/>
    <x v="11"/>
    <d v="2026-10-24T00:00:00"/>
    <s v="Rahul 22"/>
    <x v="3"/>
    <x v="2"/>
    <x v="0"/>
    <n v="4"/>
    <n v="212"/>
    <n v="0.16"/>
    <n v="712"/>
    <x v="1"/>
    <x v="2"/>
    <n v="178"/>
  </r>
  <r>
    <s v="ORD0145"/>
    <x v="7"/>
    <d v="2026-04-02T00:00:00"/>
    <s v="Priya 43"/>
    <x v="0"/>
    <x v="5"/>
    <x v="0"/>
    <n v="4"/>
    <n v="395"/>
    <n v="0.05"/>
    <n v="1501"/>
    <x v="1"/>
    <x v="0"/>
    <n v="270"/>
  </r>
  <r>
    <s v="ORD0146"/>
    <x v="5"/>
    <d v="2026-07-04T00:00:00"/>
    <s v="Karan 47"/>
    <x v="3"/>
    <x v="10"/>
    <x v="0"/>
    <n v="1"/>
    <n v="575"/>
    <n v="0.14000000000000001"/>
    <n v="494"/>
    <x v="3"/>
    <x v="0"/>
    <n v="148"/>
  </r>
  <r>
    <s v="ORD0147"/>
    <x v="11"/>
    <d v="2026-10-22T00:00:00"/>
    <s v="Vikram 6"/>
    <x v="2"/>
    <x v="0"/>
    <x v="0"/>
    <n v="2"/>
    <n v="362"/>
    <n v="0.06"/>
    <n v="680"/>
    <x v="1"/>
    <x v="1"/>
    <n v="210"/>
  </r>
  <r>
    <s v="ORD0148"/>
    <x v="8"/>
    <d v="2026-06-25T00:00:00"/>
    <s v="Karan 13"/>
    <x v="4"/>
    <x v="8"/>
    <x v="0"/>
    <n v="2"/>
    <n v="83"/>
    <n v="0.2"/>
    <n v="132"/>
    <x v="1"/>
    <x v="0"/>
    <n v="40"/>
  </r>
  <r>
    <s v="ORD0149"/>
    <x v="11"/>
    <d v="2026-10-11T00:00:00"/>
    <s v="Riya 68"/>
    <x v="1"/>
    <x v="9"/>
    <x v="0"/>
    <n v="1"/>
    <n v="571"/>
    <n v="0.1"/>
    <n v="513"/>
    <x v="2"/>
    <x v="1"/>
    <n v="51"/>
  </r>
  <r>
    <s v="ORD0150"/>
    <x v="6"/>
    <d v="2026-08-02T00:00:00"/>
    <s v="Priya 63"/>
    <x v="4"/>
    <x v="3"/>
    <x v="0"/>
    <n v="4"/>
    <n v="220"/>
    <n v="0.04"/>
    <n v="844"/>
    <x v="1"/>
    <x v="0"/>
    <n v="151"/>
  </r>
  <r>
    <s v="ORD0151"/>
    <x v="6"/>
    <d v="2026-08-13T00:00:00"/>
    <s v="Ananya 20"/>
    <x v="2"/>
    <x v="4"/>
    <x v="0"/>
    <n v="5"/>
    <n v="249"/>
    <n v="0.16"/>
    <n v="1045"/>
    <x v="3"/>
    <x v="2"/>
    <n v="334"/>
  </r>
  <r>
    <s v="ORD0152"/>
    <x v="6"/>
    <d v="2026-08-19T00:00:00"/>
    <s v="Rahul 67"/>
    <x v="3"/>
    <x v="9"/>
    <x v="0"/>
    <n v="2"/>
    <n v="490"/>
    <n v="0.04"/>
    <n v="940"/>
    <x v="2"/>
    <x v="0"/>
    <n v="197"/>
  </r>
  <r>
    <s v="ORD0153"/>
    <x v="10"/>
    <d v="2026-01-16T00:00:00"/>
    <s v="Priya 32"/>
    <x v="4"/>
    <x v="10"/>
    <x v="0"/>
    <n v="5"/>
    <n v="172"/>
    <n v="0"/>
    <n v="860"/>
    <x v="1"/>
    <x v="2"/>
    <n v="266"/>
  </r>
  <r>
    <s v="ORD0154"/>
    <x v="0"/>
    <d v="2026-12-05T00:00:00"/>
    <s v="Sneha 28"/>
    <x v="1"/>
    <x v="5"/>
    <x v="0"/>
    <n v="4"/>
    <n v="193"/>
    <n v="0.1"/>
    <n v="694"/>
    <x v="1"/>
    <x v="1"/>
    <n v="83"/>
  </r>
  <r>
    <s v="ORD0155"/>
    <x v="7"/>
    <d v="2026-04-21T00:00:00"/>
    <s v="Rahul 45"/>
    <x v="1"/>
    <x v="0"/>
    <x v="0"/>
    <n v="3"/>
    <n v="455"/>
    <n v="0.08"/>
    <n v="1255"/>
    <x v="2"/>
    <x v="1"/>
    <n v="351"/>
  </r>
  <r>
    <s v="ORD0156"/>
    <x v="2"/>
    <d v="2026-02-18T00:00:00"/>
    <s v="Priya 65"/>
    <x v="4"/>
    <x v="5"/>
    <x v="0"/>
    <n v="4"/>
    <n v="761"/>
    <n v="0"/>
    <n v="3044"/>
    <x v="3"/>
    <x v="0"/>
    <n v="730"/>
  </r>
  <r>
    <s v="ORD0157"/>
    <x v="4"/>
    <d v="2026-09-23T00:00:00"/>
    <s v="Priya 66"/>
    <x v="1"/>
    <x v="3"/>
    <x v="0"/>
    <n v="5"/>
    <n v="673"/>
    <n v="0.16"/>
    <n v="2826"/>
    <x v="0"/>
    <x v="1"/>
    <n v="367"/>
  </r>
  <r>
    <s v="ORD0158"/>
    <x v="7"/>
    <d v="2026-04-06T00:00:00"/>
    <s v="Aarav 1"/>
    <x v="2"/>
    <x v="9"/>
    <x v="0"/>
    <n v="2"/>
    <n v="105"/>
    <n v="0.12"/>
    <n v="184"/>
    <x v="0"/>
    <x v="1"/>
    <n v="23"/>
  </r>
  <r>
    <s v="ORD0159"/>
    <x v="4"/>
    <d v="2026-09-13T00:00:00"/>
    <s v="Rahul 22"/>
    <x v="1"/>
    <x v="0"/>
    <x v="0"/>
    <n v="4"/>
    <n v="573"/>
    <n v="7.0000000000000007E-2"/>
    <n v="2131"/>
    <x v="2"/>
    <x v="0"/>
    <n v="724"/>
  </r>
  <r>
    <s v="ORD0160"/>
    <x v="10"/>
    <d v="2026-01-26T00:00:00"/>
    <s v="Riya 56"/>
    <x v="0"/>
    <x v="1"/>
    <x v="0"/>
    <n v="2"/>
    <n v="482"/>
    <n v="0.14000000000000001"/>
    <n v="829"/>
    <x v="0"/>
    <x v="1"/>
    <n v="116"/>
  </r>
  <r>
    <s v="ORD0161"/>
    <x v="6"/>
    <d v="2026-08-01T00:00:00"/>
    <s v="Vikram 25"/>
    <x v="0"/>
    <x v="2"/>
    <x v="0"/>
    <n v="1"/>
    <n v="550"/>
    <n v="0.19"/>
    <n v="445"/>
    <x v="3"/>
    <x v="2"/>
    <n v="106"/>
  </r>
  <r>
    <s v="ORD0162"/>
    <x v="7"/>
    <d v="2026-04-17T00:00:00"/>
    <s v="Ananya 83"/>
    <x v="0"/>
    <x v="1"/>
    <x v="0"/>
    <n v="4"/>
    <n v="756"/>
    <n v="0.15"/>
    <n v="2570"/>
    <x v="0"/>
    <x v="0"/>
    <n v="616"/>
  </r>
  <r>
    <s v="ORD0163"/>
    <x v="7"/>
    <d v="2026-04-01T00:00:00"/>
    <s v="Sneha 62"/>
    <x v="0"/>
    <x v="6"/>
    <x v="0"/>
    <n v="1"/>
    <n v="273"/>
    <n v="0.16"/>
    <n v="229"/>
    <x v="2"/>
    <x v="0"/>
    <n v="48"/>
  </r>
  <r>
    <s v="ORD0164"/>
    <x v="11"/>
    <d v="2026-10-14T00:00:00"/>
    <s v="Aarav 9"/>
    <x v="0"/>
    <x v="0"/>
    <x v="0"/>
    <n v="1"/>
    <n v="775"/>
    <n v="0.19"/>
    <n v="627"/>
    <x v="2"/>
    <x v="0"/>
    <n v="68"/>
  </r>
  <r>
    <s v="ORD0165"/>
    <x v="10"/>
    <d v="2026-01-22T00:00:00"/>
    <s v="Riya 36"/>
    <x v="2"/>
    <x v="10"/>
    <x v="0"/>
    <n v="5"/>
    <n v="255"/>
    <n v="0.09"/>
    <n v="1160"/>
    <x v="0"/>
    <x v="1"/>
    <n v="116"/>
  </r>
  <r>
    <s v="ORD0166"/>
    <x v="7"/>
    <d v="2026-04-17T00:00:00"/>
    <s v="Ananya 59"/>
    <x v="3"/>
    <x v="1"/>
    <x v="0"/>
    <n v="5"/>
    <n v="364"/>
    <n v="0.17"/>
    <n v="1510"/>
    <x v="1"/>
    <x v="1"/>
    <n v="498"/>
  </r>
  <r>
    <s v="ORD0167"/>
    <x v="9"/>
    <d v="2026-03-24T00:00:00"/>
    <s v="Riya 23"/>
    <x v="3"/>
    <x v="1"/>
    <x v="0"/>
    <n v="2"/>
    <n v="161"/>
    <n v="0.06"/>
    <n v="302"/>
    <x v="3"/>
    <x v="2"/>
    <n v="90"/>
  </r>
  <r>
    <s v="ORD0168"/>
    <x v="7"/>
    <d v="2026-04-06T00:00:00"/>
    <s v="Aarav 52"/>
    <x v="4"/>
    <x v="4"/>
    <x v="0"/>
    <n v="4"/>
    <n v="198"/>
    <n v="0.08"/>
    <n v="728"/>
    <x v="3"/>
    <x v="0"/>
    <n v="232"/>
  </r>
  <r>
    <s v="ORD0169"/>
    <x v="8"/>
    <d v="2026-06-13T00:00:00"/>
    <s v="Priya 9"/>
    <x v="2"/>
    <x v="3"/>
    <x v="0"/>
    <n v="2"/>
    <n v="306"/>
    <n v="0.16"/>
    <n v="514"/>
    <x v="0"/>
    <x v="0"/>
    <n v="56"/>
  </r>
  <r>
    <s v="ORD0170"/>
    <x v="5"/>
    <d v="2026-07-23T00:00:00"/>
    <s v="Priya 49"/>
    <x v="1"/>
    <x v="5"/>
    <x v="0"/>
    <n v="1"/>
    <n v="624"/>
    <n v="0"/>
    <n v="624"/>
    <x v="0"/>
    <x v="2"/>
    <n v="149"/>
  </r>
  <r>
    <s v="ORD0171"/>
    <x v="1"/>
    <d v="2026-05-20T00:00:00"/>
    <s v="Aarav 69"/>
    <x v="2"/>
    <x v="0"/>
    <x v="0"/>
    <n v="5"/>
    <n v="191"/>
    <n v="0.14000000000000001"/>
    <n v="821"/>
    <x v="3"/>
    <x v="2"/>
    <n v="90"/>
  </r>
  <r>
    <s v="ORD0172"/>
    <x v="1"/>
    <d v="2026-05-21T00:00:00"/>
    <s v="Priya 3"/>
    <x v="3"/>
    <x v="2"/>
    <x v="0"/>
    <n v="3"/>
    <n v="557"/>
    <n v="0.06"/>
    <n v="1570"/>
    <x v="3"/>
    <x v="0"/>
    <n v="329"/>
  </r>
  <r>
    <s v="ORD0173"/>
    <x v="0"/>
    <d v="2026-12-13T00:00:00"/>
    <s v="Riya 28"/>
    <x v="2"/>
    <x v="10"/>
    <x v="0"/>
    <n v="4"/>
    <n v="521"/>
    <n v="0.02"/>
    <n v="2042"/>
    <x v="0"/>
    <x v="0"/>
    <n v="285"/>
  </r>
  <r>
    <s v="ORD0174"/>
    <x v="10"/>
    <d v="2026-01-01T00:00:00"/>
    <s v="Sneha 81"/>
    <x v="2"/>
    <x v="9"/>
    <x v="0"/>
    <n v="4"/>
    <n v="213"/>
    <n v="0.06"/>
    <n v="800"/>
    <x v="0"/>
    <x v="1"/>
    <n v="136"/>
  </r>
  <r>
    <s v="ORD0175"/>
    <x v="3"/>
    <d v="2026-11-16T00:00:00"/>
    <s v="Riya 31"/>
    <x v="0"/>
    <x v="4"/>
    <x v="0"/>
    <n v="1"/>
    <n v="207"/>
    <n v="0.13"/>
    <n v="180"/>
    <x v="0"/>
    <x v="2"/>
    <n v="39"/>
  </r>
  <r>
    <s v="ORD0176"/>
    <x v="1"/>
    <d v="2026-05-18T00:00:00"/>
    <s v="Ananya 6"/>
    <x v="2"/>
    <x v="1"/>
    <x v="0"/>
    <n v="2"/>
    <n v="351"/>
    <n v="0.05"/>
    <n v="666"/>
    <x v="2"/>
    <x v="2"/>
    <n v="206"/>
  </r>
  <r>
    <s v="ORD0177"/>
    <x v="9"/>
    <d v="2026-03-23T00:00:00"/>
    <s v="Priya 94"/>
    <x v="2"/>
    <x v="2"/>
    <x v="0"/>
    <n v="1"/>
    <n v="622"/>
    <n v="0.06"/>
    <n v="584"/>
    <x v="0"/>
    <x v="1"/>
    <n v="99"/>
  </r>
  <r>
    <s v="ORD0178"/>
    <x v="6"/>
    <d v="2026-08-11T00:00:00"/>
    <s v="Aarav 68"/>
    <x v="4"/>
    <x v="8"/>
    <x v="0"/>
    <n v="2"/>
    <n v="617"/>
    <n v="0.06"/>
    <n v="1159"/>
    <x v="3"/>
    <x v="1"/>
    <n v="312"/>
  </r>
  <r>
    <s v="ORD0179"/>
    <x v="9"/>
    <d v="2026-03-13T00:00:00"/>
    <s v="Karan 3"/>
    <x v="0"/>
    <x v="5"/>
    <x v="0"/>
    <n v="4"/>
    <n v="620"/>
    <n v="0.13"/>
    <n v="2157"/>
    <x v="3"/>
    <x v="0"/>
    <n v="754"/>
  </r>
  <r>
    <s v="ORD0180"/>
    <x v="0"/>
    <d v="2026-12-26T00:00:00"/>
    <s v="Riya 69"/>
    <x v="4"/>
    <x v="1"/>
    <x v="0"/>
    <n v="4"/>
    <n v="123"/>
    <n v="0.06"/>
    <n v="462"/>
    <x v="2"/>
    <x v="2"/>
    <n v="83"/>
  </r>
  <r>
    <s v="ORD0181"/>
    <x v="10"/>
    <d v="2026-01-18T00:00:00"/>
    <s v="Vikram 16"/>
    <x v="1"/>
    <x v="4"/>
    <x v="0"/>
    <n v="3"/>
    <n v="208"/>
    <n v="0.15"/>
    <n v="530"/>
    <x v="3"/>
    <x v="2"/>
    <n v="169"/>
  </r>
  <r>
    <s v="ORD0182"/>
    <x v="6"/>
    <d v="2026-08-25T00:00:00"/>
    <s v="Priya 41"/>
    <x v="4"/>
    <x v="5"/>
    <x v="0"/>
    <n v="5"/>
    <n v="137"/>
    <n v="0.15"/>
    <n v="582"/>
    <x v="2"/>
    <x v="0"/>
    <n v="157"/>
  </r>
  <r>
    <s v="ORD0183"/>
    <x v="7"/>
    <d v="2026-04-16T00:00:00"/>
    <s v="Priya 74"/>
    <x v="4"/>
    <x v="10"/>
    <x v="0"/>
    <n v="3"/>
    <n v="187"/>
    <n v="0.11"/>
    <n v="499"/>
    <x v="1"/>
    <x v="1"/>
    <n v="154"/>
  </r>
  <r>
    <s v="ORD0184"/>
    <x v="6"/>
    <d v="2026-08-03T00:00:00"/>
    <s v="Riya 27"/>
    <x v="1"/>
    <x v="9"/>
    <x v="0"/>
    <n v="1"/>
    <n v="698"/>
    <n v="0.1"/>
    <n v="628"/>
    <x v="0"/>
    <x v="2"/>
    <n v="69"/>
  </r>
  <r>
    <s v="ORD0185"/>
    <x v="6"/>
    <d v="2026-08-18T00:00:00"/>
    <s v="Sneha 48"/>
    <x v="3"/>
    <x v="4"/>
    <x v="0"/>
    <n v="4"/>
    <n v="756"/>
    <n v="0.2"/>
    <n v="2419"/>
    <x v="2"/>
    <x v="0"/>
    <n v="483"/>
  </r>
  <r>
    <s v="ORD0186"/>
    <x v="4"/>
    <d v="2026-09-23T00:00:00"/>
    <s v="Riya 92"/>
    <x v="3"/>
    <x v="1"/>
    <x v="0"/>
    <n v="1"/>
    <n v="311"/>
    <n v="0.1"/>
    <n v="279"/>
    <x v="1"/>
    <x v="2"/>
    <n v="75"/>
  </r>
  <r>
    <s v="ORD0187"/>
    <x v="2"/>
    <d v="2026-02-08T00:00:00"/>
    <s v="Sneha 74"/>
    <x v="3"/>
    <x v="3"/>
    <x v="0"/>
    <n v="5"/>
    <n v="112"/>
    <n v="0.12"/>
    <n v="492"/>
    <x v="0"/>
    <x v="1"/>
    <n v="113"/>
  </r>
  <r>
    <s v="ORD0188"/>
    <x v="3"/>
    <d v="2026-11-09T00:00:00"/>
    <s v="Ananya 27"/>
    <x v="0"/>
    <x v="6"/>
    <x v="0"/>
    <n v="4"/>
    <n v="493"/>
    <n v="0.16"/>
    <n v="1656"/>
    <x v="3"/>
    <x v="0"/>
    <n v="215"/>
  </r>
  <r>
    <s v="ORD0189"/>
    <x v="2"/>
    <d v="2026-02-21T00:00:00"/>
    <s v="Karan 9"/>
    <x v="4"/>
    <x v="9"/>
    <x v="0"/>
    <n v="4"/>
    <n v="451"/>
    <n v="0.03"/>
    <n v="1749"/>
    <x v="0"/>
    <x v="2"/>
    <n v="367"/>
  </r>
  <r>
    <s v="ORD0190"/>
    <x v="1"/>
    <d v="2026-05-25T00:00:00"/>
    <s v="Aarav 32"/>
    <x v="2"/>
    <x v="3"/>
    <x v="0"/>
    <n v="4"/>
    <n v="619"/>
    <n v="0.02"/>
    <n v="2426"/>
    <x v="2"/>
    <x v="2"/>
    <n v="703"/>
  </r>
  <r>
    <s v="ORD0191"/>
    <x v="8"/>
    <d v="2026-06-28T00:00:00"/>
    <s v="Sneha 91"/>
    <x v="4"/>
    <x v="10"/>
    <x v="0"/>
    <n v="4"/>
    <n v="114"/>
    <n v="0.09"/>
    <n v="414"/>
    <x v="1"/>
    <x v="0"/>
    <n v="128"/>
  </r>
  <r>
    <s v="ORD0192"/>
    <x v="6"/>
    <d v="2026-08-19T00:00:00"/>
    <s v="Karan 31"/>
    <x v="1"/>
    <x v="8"/>
    <x v="0"/>
    <n v="2"/>
    <n v="386"/>
    <n v="0"/>
    <n v="772"/>
    <x v="3"/>
    <x v="2"/>
    <n v="193"/>
  </r>
  <r>
    <s v="ORD0193"/>
    <x v="8"/>
    <d v="2026-06-22T00:00:00"/>
    <s v="Ananya 82"/>
    <x v="0"/>
    <x v="8"/>
    <x v="0"/>
    <n v="5"/>
    <n v="254"/>
    <n v="0.04"/>
    <n v="1219"/>
    <x v="3"/>
    <x v="0"/>
    <n v="292"/>
  </r>
  <r>
    <s v="ORD0194"/>
    <x v="6"/>
    <d v="2026-08-28T00:00:00"/>
    <s v="Vikram 6"/>
    <x v="2"/>
    <x v="4"/>
    <x v="0"/>
    <n v="5"/>
    <n v="372"/>
    <n v="0.13"/>
    <n v="1618"/>
    <x v="2"/>
    <x v="2"/>
    <n v="566"/>
  </r>
  <r>
    <s v="ORD0195"/>
    <x v="8"/>
    <d v="2026-06-07T00:00:00"/>
    <s v="Sneha 87"/>
    <x v="3"/>
    <x v="6"/>
    <x v="0"/>
    <n v="4"/>
    <n v="501"/>
    <n v="0.18"/>
    <n v="1643"/>
    <x v="1"/>
    <x v="0"/>
    <n v="262"/>
  </r>
  <r>
    <s v="ORD0196"/>
    <x v="9"/>
    <d v="2026-03-13T00:00:00"/>
    <s v="Vikram 76"/>
    <x v="1"/>
    <x v="10"/>
    <x v="0"/>
    <n v="4"/>
    <n v="374"/>
    <n v="0.06"/>
    <n v="1406"/>
    <x v="2"/>
    <x v="2"/>
    <n v="351"/>
  </r>
  <r>
    <s v="ORD0197"/>
    <x v="4"/>
    <d v="2026-09-15T00:00:00"/>
    <s v="Priya 92"/>
    <x v="2"/>
    <x v="4"/>
    <x v="0"/>
    <n v="3"/>
    <n v="548"/>
    <n v="0.13"/>
    <n v="1430"/>
    <x v="2"/>
    <x v="1"/>
    <n v="257"/>
  </r>
  <r>
    <s v="ORD0198"/>
    <x v="2"/>
    <d v="2026-02-03T00:00:00"/>
    <s v="Ananya 6"/>
    <x v="3"/>
    <x v="5"/>
    <x v="0"/>
    <n v="3"/>
    <n v="746"/>
    <n v="0.1"/>
    <n v="2014"/>
    <x v="1"/>
    <x v="1"/>
    <n v="362"/>
  </r>
  <r>
    <s v="ORD0199"/>
    <x v="0"/>
    <d v="2026-12-08T00:00:00"/>
    <s v="Vikram 1"/>
    <x v="3"/>
    <x v="10"/>
    <x v="0"/>
    <n v="1"/>
    <n v="783"/>
    <n v="0.2"/>
    <n v="626"/>
    <x v="2"/>
    <x v="1"/>
    <n v="150"/>
  </r>
  <r>
    <s v="ORD0200"/>
    <x v="5"/>
    <d v="2026-07-05T00:00:00"/>
    <s v="Ananya 94"/>
    <x v="1"/>
    <x v="7"/>
    <x v="0"/>
    <n v="1"/>
    <n v="615"/>
    <n v="0.2"/>
    <n v="492"/>
    <x v="1"/>
    <x v="2"/>
    <n v="68"/>
  </r>
  <r>
    <s v="ORD0201"/>
    <x v="5"/>
    <d v="2026-07-21T00:00:00"/>
    <s v="Rahul 87"/>
    <x v="1"/>
    <x v="3"/>
    <x v="0"/>
    <n v="3"/>
    <n v="407"/>
    <n v="0.03"/>
    <n v="1184"/>
    <x v="3"/>
    <x v="0"/>
    <n v="367"/>
  </r>
  <r>
    <s v="ORD0202"/>
    <x v="0"/>
    <d v="2026-12-23T00:00:00"/>
    <s v="Aarav 84"/>
    <x v="3"/>
    <x v="5"/>
    <x v="0"/>
    <n v="5"/>
    <n v="495"/>
    <n v="0.04"/>
    <n v="2376"/>
    <x v="3"/>
    <x v="0"/>
    <n v="784"/>
  </r>
  <r>
    <s v="ORD0203"/>
    <x v="7"/>
    <d v="2026-04-11T00:00:00"/>
    <s v="Rahul 42"/>
    <x v="2"/>
    <x v="4"/>
    <x v="0"/>
    <n v="3"/>
    <n v="695"/>
    <n v="0.02"/>
    <n v="2043"/>
    <x v="1"/>
    <x v="0"/>
    <n v="367"/>
  </r>
  <r>
    <s v="ORD0204"/>
    <x v="9"/>
    <d v="2026-03-09T00:00:00"/>
    <s v="Ananya 98"/>
    <x v="4"/>
    <x v="5"/>
    <x v="0"/>
    <n v="1"/>
    <n v="800"/>
    <n v="0.03"/>
    <n v="776"/>
    <x v="3"/>
    <x v="0"/>
    <n v="131"/>
  </r>
  <r>
    <s v="ORD0205"/>
    <x v="8"/>
    <d v="2026-06-10T00:00:00"/>
    <s v="Riya 64"/>
    <x v="2"/>
    <x v="4"/>
    <x v="0"/>
    <n v="2"/>
    <n v="151"/>
    <n v="0.14000000000000001"/>
    <n v="259"/>
    <x v="0"/>
    <x v="2"/>
    <n v="56"/>
  </r>
  <r>
    <s v="ORD0206"/>
    <x v="0"/>
    <d v="2026-12-22T00:00:00"/>
    <s v="Sneha 6"/>
    <x v="4"/>
    <x v="2"/>
    <x v="0"/>
    <n v="2"/>
    <n v="420"/>
    <n v="0.15"/>
    <n v="714"/>
    <x v="2"/>
    <x v="2"/>
    <n v="135"/>
  </r>
  <r>
    <s v="ORD0207"/>
    <x v="7"/>
    <d v="2026-04-01T00:00:00"/>
    <s v="Ananya 49"/>
    <x v="2"/>
    <x v="8"/>
    <x v="0"/>
    <n v="4"/>
    <n v="786"/>
    <n v="0.14000000000000001"/>
    <n v="2703"/>
    <x v="0"/>
    <x v="0"/>
    <n v="486"/>
  </r>
  <r>
    <s v="ORD0208"/>
    <x v="9"/>
    <d v="2026-03-19T00:00:00"/>
    <s v="Rahul 3"/>
    <x v="3"/>
    <x v="6"/>
    <x v="0"/>
    <n v="4"/>
    <n v="488"/>
    <n v="0.08"/>
    <n v="1795"/>
    <x v="0"/>
    <x v="1"/>
    <n v="215"/>
  </r>
  <r>
    <s v="ORD0209"/>
    <x v="7"/>
    <d v="2026-04-12T00:00:00"/>
    <s v="Riya 3"/>
    <x v="1"/>
    <x v="10"/>
    <x v="0"/>
    <n v="1"/>
    <n v="646"/>
    <n v="0.18"/>
    <n v="529"/>
    <x v="3"/>
    <x v="2"/>
    <n v="111"/>
  </r>
  <r>
    <s v="ORD0210"/>
    <x v="11"/>
    <d v="2026-10-12T00:00:00"/>
    <s v="Priya 26"/>
    <x v="4"/>
    <x v="10"/>
    <x v="0"/>
    <n v="3"/>
    <n v="783"/>
    <n v="0.09"/>
    <n v="2137"/>
    <x v="0"/>
    <x v="1"/>
    <n v="384"/>
  </r>
  <r>
    <s v="ORD0211"/>
    <x v="9"/>
    <d v="2026-03-07T00:00:00"/>
    <s v="Ananya 56"/>
    <x v="1"/>
    <x v="1"/>
    <x v="0"/>
    <n v="5"/>
    <n v="113"/>
    <n v="0.14000000000000001"/>
    <n v="485"/>
    <x v="3"/>
    <x v="0"/>
    <n v="67"/>
  </r>
  <r>
    <s v="ORD0212"/>
    <x v="9"/>
    <d v="2026-03-23T00:00:00"/>
    <s v="Karan 73"/>
    <x v="0"/>
    <x v="0"/>
    <x v="0"/>
    <n v="5"/>
    <n v="417"/>
    <n v="0.03"/>
    <n v="2022"/>
    <x v="0"/>
    <x v="1"/>
    <n v="202"/>
  </r>
  <r>
    <s v="ORD0213"/>
    <x v="6"/>
    <d v="2026-08-07T00:00:00"/>
    <s v="Karan 92"/>
    <x v="4"/>
    <x v="5"/>
    <x v="0"/>
    <n v="4"/>
    <n v="523"/>
    <n v="0.01"/>
    <n v="2071"/>
    <x v="3"/>
    <x v="2"/>
    <n v="538"/>
  </r>
  <r>
    <s v="ORD0214"/>
    <x v="1"/>
    <d v="2026-05-09T00:00:00"/>
    <s v="Rahul 78"/>
    <x v="0"/>
    <x v="5"/>
    <x v="0"/>
    <n v="3"/>
    <n v="481"/>
    <n v="0.14000000000000001"/>
    <n v="1240"/>
    <x v="2"/>
    <x v="1"/>
    <n v="198"/>
  </r>
  <r>
    <s v="ORD0215"/>
    <x v="9"/>
    <d v="2026-03-27T00:00:00"/>
    <s v="Priya 83"/>
    <x v="3"/>
    <x v="9"/>
    <x v="0"/>
    <n v="2"/>
    <n v="338"/>
    <n v="0.11"/>
    <n v="601"/>
    <x v="0"/>
    <x v="2"/>
    <n v="132"/>
  </r>
  <r>
    <s v="ORD0216"/>
    <x v="8"/>
    <d v="2026-06-07T00:00:00"/>
    <s v="Sneha 53"/>
    <x v="0"/>
    <x v="9"/>
    <x v="0"/>
    <n v="2"/>
    <n v="107"/>
    <n v="0.05"/>
    <n v="203"/>
    <x v="1"/>
    <x v="1"/>
    <n v="62"/>
  </r>
  <r>
    <s v="ORD0217"/>
    <x v="4"/>
    <d v="2026-09-17T00:00:00"/>
    <s v="Ananya 94"/>
    <x v="4"/>
    <x v="5"/>
    <x v="0"/>
    <n v="1"/>
    <n v="321"/>
    <n v="0.15"/>
    <n v="272"/>
    <x v="3"/>
    <x v="2"/>
    <n v="92"/>
  </r>
  <r>
    <s v="ORD0218"/>
    <x v="8"/>
    <d v="2026-06-05T00:00:00"/>
    <s v="Rahul 61"/>
    <x v="1"/>
    <x v="10"/>
    <x v="0"/>
    <n v="1"/>
    <n v="135"/>
    <n v="0.06"/>
    <n v="126"/>
    <x v="0"/>
    <x v="2"/>
    <n v="23"/>
  </r>
  <r>
    <s v="ORD0219"/>
    <x v="9"/>
    <d v="2026-03-09T00:00:00"/>
    <s v="Vikram 70"/>
    <x v="3"/>
    <x v="8"/>
    <x v="0"/>
    <n v="5"/>
    <n v="675"/>
    <n v="0.17"/>
    <n v="2801"/>
    <x v="0"/>
    <x v="0"/>
    <n v="868"/>
  </r>
  <r>
    <s v="ORD0220"/>
    <x v="5"/>
    <d v="2026-07-19T00:00:00"/>
    <s v="Rahul 43"/>
    <x v="0"/>
    <x v="4"/>
    <x v="0"/>
    <n v="1"/>
    <n v="587"/>
    <n v="0.04"/>
    <n v="563"/>
    <x v="0"/>
    <x v="1"/>
    <n v="135"/>
  </r>
  <r>
    <s v="ORD0221"/>
    <x v="2"/>
    <d v="2026-02-07T00:00:00"/>
    <s v="Riya 11"/>
    <x v="4"/>
    <x v="10"/>
    <x v="0"/>
    <n v="2"/>
    <n v="168"/>
    <n v="0.15"/>
    <n v="285"/>
    <x v="0"/>
    <x v="1"/>
    <n v="42"/>
  </r>
  <r>
    <s v="ORD0222"/>
    <x v="9"/>
    <d v="2026-03-24T00:00:00"/>
    <s v="Sneha 75"/>
    <x v="3"/>
    <x v="8"/>
    <x v="0"/>
    <n v="5"/>
    <n v="539"/>
    <n v="0.06"/>
    <n v="2533"/>
    <x v="1"/>
    <x v="0"/>
    <n v="430"/>
  </r>
  <r>
    <s v="ORD0223"/>
    <x v="9"/>
    <d v="2026-03-26T00:00:00"/>
    <s v="Karan 15"/>
    <x v="0"/>
    <x v="1"/>
    <x v="0"/>
    <n v="4"/>
    <n v="563"/>
    <n v="0"/>
    <n v="2252"/>
    <x v="3"/>
    <x v="2"/>
    <n v="720"/>
  </r>
  <r>
    <s v="ORD0224"/>
    <x v="11"/>
    <d v="2026-10-06T00:00:00"/>
    <s v="Karan 1"/>
    <x v="1"/>
    <x v="1"/>
    <x v="0"/>
    <n v="1"/>
    <n v="305"/>
    <n v="0.16"/>
    <n v="256"/>
    <x v="3"/>
    <x v="1"/>
    <n v="33"/>
  </r>
  <r>
    <s v="ORD0225"/>
    <x v="7"/>
    <d v="2026-04-01T00:00:00"/>
    <s v="Karan 5"/>
    <x v="0"/>
    <x v="9"/>
    <x v="0"/>
    <n v="1"/>
    <n v="376"/>
    <n v="0.19"/>
    <n v="304"/>
    <x v="2"/>
    <x v="1"/>
    <n v="33"/>
  </r>
  <r>
    <s v="ORD0226"/>
    <x v="1"/>
    <d v="2026-05-14T00:00:00"/>
    <s v="Vikram 90"/>
    <x v="4"/>
    <x v="3"/>
    <x v="0"/>
    <n v="5"/>
    <n v="555"/>
    <n v="0.15"/>
    <n v="2358"/>
    <x v="3"/>
    <x v="0"/>
    <n v="400"/>
  </r>
  <r>
    <s v="ORD0227"/>
    <x v="3"/>
    <d v="2026-11-20T00:00:00"/>
    <s v="Sneha 43"/>
    <x v="4"/>
    <x v="1"/>
    <x v="0"/>
    <n v="4"/>
    <n v="608"/>
    <n v="0.15"/>
    <n v="2067"/>
    <x v="0"/>
    <x v="2"/>
    <n v="578"/>
  </r>
  <r>
    <s v="ORD0228"/>
    <x v="1"/>
    <d v="2026-05-09T00:00:00"/>
    <s v="Vikram 84"/>
    <x v="0"/>
    <x v="10"/>
    <x v="0"/>
    <n v="4"/>
    <n v="158"/>
    <n v="0.14000000000000001"/>
    <n v="543"/>
    <x v="2"/>
    <x v="0"/>
    <n v="108"/>
  </r>
  <r>
    <s v="ORD0229"/>
    <x v="1"/>
    <d v="2026-05-13T00:00:00"/>
    <s v="Vikram 10"/>
    <x v="2"/>
    <x v="9"/>
    <x v="0"/>
    <n v="4"/>
    <n v="229"/>
    <n v="0.05"/>
    <n v="870"/>
    <x v="1"/>
    <x v="2"/>
    <n v="104"/>
  </r>
  <r>
    <s v="ORD0230"/>
    <x v="4"/>
    <d v="2026-09-21T00:00:00"/>
    <s v="Karan 43"/>
    <x v="3"/>
    <x v="1"/>
    <x v="0"/>
    <n v="5"/>
    <n v="773"/>
    <n v="0.15"/>
    <n v="3285"/>
    <x v="2"/>
    <x v="0"/>
    <n v="1116"/>
  </r>
  <r>
    <s v="ORD0231"/>
    <x v="3"/>
    <d v="2026-11-21T00:00:00"/>
    <s v="Vikram 52"/>
    <x v="3"/>
    <x v="4"/>
    <x v="0"/>
    <n v="1"/>
    <n v="551"/>
    <n v="0.11"/>
    <n v="490"/>
    <x v="3"/>
    <x v="2"/>
    <n v="107"/>
  </r>
  <r>
    <s v="ORD0232"/>
    <x v="4"/>
    <d v="2026-09-02T00:00:00"/>
    <s v="Vikram 5"/>
    <x v="2"/>
    <x v="0"/>
    <x v="0"/>
    <n v="5"/>
    <n v="647"/>
    <n v="0.02"/>
    <n v="3170"/>
    <x v="2"/>
    <x v="2"/>
    <n v="634"/>
  </r>
  <r>
    <s v="ORD0233"/>
    <x v="0"/>
    <d v="2026-12-15T00:00:00"/>
    <s v="Riya 52"/>
    <x v="4"/>
    <x v="6"/>
    <x v="0"/>
    <n v="3"/>
    <n v="356"/>
    <n v="0.13"/>
    <n v="929"/>
    <x v="1"/>
    <x v="1"/>
    <n v="102"/>
  </r>
  <r>
    <s v="ORD0234"/>
    <x v="5"/>
    <d v="2026-07-11T00:00:00"/>
    <s v="Ananya 59"/>
    <x v="0"/>
    <x v="6"/>
    <x v="0"/>
    <n v="1"/>
    <n v="799"/>
    <n v="0.2"/>
    <n v="639"/>
    <x v="2"/>
    <x v="0"/>
    <n v="198"/>
  </r>
  <r>
    <s v="ORD0235"/>
    <x v="6"/>
    <d v="2026-08-28T00:00:00"/>
    <s v="Riya 85"/>
    <x v="4"/>
    <x v="0"/>
    <x v="0"/>
    <n v="3"/>
    <n v="336"/>
    <n v="0.02"/>
    <n v="987"/>
    <x v="1"/>
    <x v="0"/>
    <n v="325"/>
  </r>
  <r>
    <s v="ORD0236"/>
    <x v="8"/>
    <d v="2026-06-05T00:00:00"/>
    <s v="Priya 55"/>
    <x v="1"/>
    <x v="7"/>
    <x v="0"/>
    <n v="3"/>
    <n v="738"/>
    <n v="0.12"/>
    <n v="1948"/>
    <x v="2"/>
    <x v="0"/>
    <n v="564"/>
  </r>
  <r>
    <s v="ORD0237"/>
    <x v="3"/>
    <d v="2026-11-21T00:00:00"/>
    <s v="Riya 91"/>
    <x v="1"/>
    <x v="2"/>
    <x v="0"/>
    <n v="3"/>
    <n v="693"/>
    <n v="0"/>
    <n v="2079"/>
    <x v="3"/>
    <x v="0"/>
    <n v="582"/>
  </r>
  <r>
    <s v="ORD0238"/>
    <x v="1"/>
    <d v="2026-05-03T00:00:00"/>
    <s v="Karan 26"/>
    <x v="0"/>
    <x v="1"/>
    <x v="0"/>
    <n v="1"/>
    <n v="255"/>
    <n v="0.06"/>
    <n v="239"/>
    <x v="2"/>
    <x v="2"/>
    <n v="31"/>
  </r>
  <r>
    <s v="ORD0239"/>
    <x v="10"/>
    <d v="2026-01-25T00:00:00"/>
    <s v="Riya 90"/>
    <x v="2"/>
    <x v="5"/>
    <x v="0"/>
    <n v="3"/>
    <n v="239"/>
    <n v="0.05"/>
    <n v="681"/>
    <x v="2"/>
    <x v="1"/>
    <n v="115"/>
  </r>
  <r>
    <s v="ORD0240"/>
    <x v="5"/>
    <d v="2026-07-25T00:00:00"/>
    <s v="Rahul 33"/>
    <x v="0"/>
    <x v="4"/>
    <x v="0"/>
    <n v="5"/>
    <n v="616"/>
    <n v="0.08"/>
    <n v="2833"/>
    <x v="0"/>
    <x v="2"/>
    <n v="396"/>
  </r>
  <r>
    <s v="ORD0241"/>
    <x v="1"/>
    <d v="2026-05-03T00:00:00"/>
    <s v="Vikram 71"/>
    <x v="1"/>
    <x v="7"/>
    <x v="0"/>
    <n v="2"/>
    <n v="497"/>
    <n v="0.15"/>
    <n v="844"/>
    <x v="0"/>
    <x v="1"/>
    <n v="126"/>
  </r>
  <r>
    <s v="ORD0242"/>
    <x v="5"/>
    <d v="2026-07-21T00:00:00"/>
    <s v="Karan 71"/>
    <x v="4"/>
    <x v="8"/>
    <x v="0"/>
    <n v="2"/>
    <n v="388"/>
    <n v="0.03"/>
    <n v="752"/>
    <x v="3"/>
    <x v="0"/>
    <n v="157"/>
  </r>
  <r>
    <s v="ORD0243"/>
    <x v="6"/>
    <d v="2026-08-16T00:00:00"/>
    <s v="Riya 46"/>
    <x v="3"/>
    <x v="0"/>
    <x v="0"/>
    <n v="5"/>
    <n v="570"/>
    <n v="0.03"/>
    <n v="2764"/>
    <x v="0"/>
    <x v="1"/>
    <n v="967"/>
  </r>
  <r>
    <s v="ORD0244"/>
    <x v="7"/>
    <d v="2026-04-10T00:00:00"/>
    <s v="Priya 3"/>
    <x v="1"/>
    <x v="7"/>
    <x v="0"/>
    <n v="1"/>
    <n v="724"/>
    <n v="0.17"/>
    <n v="600"/>
    <x v="0"/>
    <x v="2"/>
    <n v="156"/>
  </r>
  <r>
    <s v="ORD0245"/>
    <x v="4"/>
    <d v="2026-09-16T00:00:00"/>
    <s v="Riya 32"/>
    <x v="4"/>
    <x v="2"/>
    <x v="0"/>
    <n v="1"/>
    <n v="238"/>
    <n v="0"/>
    <n v="238"/>
    <x v="2"/>
    <x v="0"/>
    <n v="33"/>
  </r>
  <r>
    <s v="ORD0246"/>
    <x v="7"/>
    <d v="2026-04-11T00:00:00"/>
    <s v="Sneha 51"/>
    <x v="2"/>
    <x v="10"/>
    <x v="0"/>
    <n v="5"/>
    <n v="424"/>
    <n v="0.05"/>
    <n v="2014"/>
    <x v="3"/>
    <x v="2"/>
    <n v="543"/>
  </r>
  <r>
    <s v="ORD0247"/>
    <x v="5"/>
    <d v="2026-07-14T00:00:00"/>
    <s v="Vikram 98"/>
    <x v="3"/>
    <x v="4"/>
    <x v="0"/>
    <n v="5"/>
    <n v="126"/>
    <n v="0.04"/>
    <n v="604"/>
    <x v="2"/>
    <x v="1"/>
    <n v="144"/>
  </r>
  <r>
    <s v="ORD0248"/>
    <x v="5"/>
    <d v="2026-07-07T00:00:00"/>
    <s v="Priya 7"/>
    <x v="0"/>
    <x v="5"/>
    <x v="0"/>
    <n v="5"/>
    <n v="427"/>
    <n v="0.03"/>
    <n v="2070"/>
    <x v="3"/>
    <x v="2"/>
    <n v="331"/>
  </r>
  <r>
    <s v="ORD0249"/>
    <x v="11"/>
    <d v="2026-10-28T00:00:00"/>
    <s v="Priya 41"/>
    <x v="2"/>
    <x v="1"/>
    <x v="0"/>
    <n v="4"/>
    <n v="796"/>
    <n v="0.03"/>
    <n v="3088"/>
    <x v="3"/>
    <x v="0"/>
    <n v="586"/>
  </r>
  <r>
    <s v="ORD0250"/>
    <x v="2"/>
    <d v="2026-02-11T00:00:00"/>
    <s v="Vikram 20"/>
    <x v="3"/>
    <x v="5"/>
    <x v="0"/>
    <n v="4"/>
    <n v="84"/>
    <n v="0.08"/>
    <n v="309"/>
    <x v="3"/>
    <x v="0"/>
    <n v="83"/>
  </r>
  <r>
    <s v="ORD0251"/>
    <x v="11"/>
    <d v="2026-10-03T00:00:00"/>
    <s v="Ananya 98"/>
    <x v="4"/>
    <x v="8"/>
    <x v="0"/>
    <n v="3"/>
    <n v="454"/>
    <n v="0.06"/>
    <n v="1280"/>
    <x v="2"/>
    <x v="0"/>
    <n v="358"/>
  </r>
  <r>
    <s v="ORD0252"/>
    <x v="8"/>
    <d v="2026-06-04T00:00:00"/>
    <s v="Riya 63"/>
    <x v="1"/>
    <x v="0"/>
    <x v="0"/>
    <n v="5"/>
    <n v="465"/>
    <n v="0.05"/>
    <n v="2208"/>
    <x v="1"/>
    <x v="2"/>
    <n v="242"/>
  </r>
  <r>
    <s v="ORD0253"/>
    <x v="4"/>
    <d v="2026-09-28T00:00:00"/>
    <s v="Sneha 64"/>
    <x v="0"/>
    <x v="4"/>
    <x v="0"/>
    <n v="2"/>
    <n v="360"/>
    <n v="0.01"/>
    <n v="712"/>
    <x v="0"/>
    <x v="0"/>
    <n v="170"/>
  </r>
  <r>
    <s v="ORD0254"/>
    <x v="7"/>
    <d v="2026-04-06T00:00:00"/>
    <s v="Vikram 32"/>
    <x v="1"/>
    <x v="2"/>
    <x v="0"/>
    <n v="2"/>
    <n v="320"/>
    <n v="0.1"/>
    <n v="576"/>
    <x v="1"/>
    <x v="0"/>
    <n v="63"/>
  </r>
  <r>
    <s v="ORD0255"/>
    <x v="5"/>
    <d v="2026-07-12T00:00:00"/>
    <s v="Karan 8"/>
    <x v="0"/>
    <x v="5"/>
    <x v="0"/>
    <n v="3"/>
    <n v="155"/>
    <n v="0.05"/>
    <n v="441"/>
    <x v="0"/>
    <x v="0"/>
    <n v="74"/>
  </r>
  <r>
    <s v="ORD0256"/>
    <x v="2"/>
    <d v="2026-02-03T00:00:00"/>
    <s v="Karan 61"/>
    <x v="0"/>
    <x v="1"/>
    <x v="0"/>
    <n v="2"/>
    <n v="788"/>
    <n v="0.09"/>
    <n v="1434"/>
    <x v="0"/>
    <x v="1"/>
    <n v="444"/>
  </r>
  <r>
    <s v="ORD0257"/>
    <x v="7"/>
    <d v="2026-04-02T00:00:00"/>
    <s v="Vikram 59"/>
    <x v="3"/>
    <x v="3"/>
    <x v="0"/>
    <n v="4"/>
    <n v="106"/>
    <n v="0.02"/>
    <n v="415"/>
    <x v="0"/>
    <x v="0"/>
    <n v="74"/>
  </r>
  <r>
    <s v="ORD0258"/>
    <x v="5"/>
    <d v="2026-07-24T00:00:00"/>
    <s v="Priya 50"/>
    <x v="4"/>
    <x v="6"/>
    <x v="0"/>
    <n v="2"/>
    <n v="642"/>
    <n v="0.18"/>
    <n v="1052"/>
    <x v="0"/>
    <x v="0"/>
    <n v="178"/>
  </r>
  <r>
    <s v="ORD0259"/>
    <x v="7"/>
    <d v="2026-04-04T00:00:00"/>
    <s v="Sneha 81"/>
    <x v="1"/>
    <x v="7"/>
    <x v="0"/>
    <n v="5"/>
    <n v="696"/>
    <n v="0.18"/>
    <n v="2853"/>
    <x v="1"/>
    <x v="2"/>
    <n v="827"/>
  </r>
  <r>
    <s v="ORD0260"/>
    <x v="8"/>
    <d v="2026-06-10T00:00:00"/>
    <s v="Vikram 34"/>
    <x v="4"/>
    <x v="9"/>
    <x v="0"/>
    <n v="3"/>
    <n v="604"/>
    <n v="0.16"/>
    <n v="1522"/>
    <x v="2"/>
    <x v="0"/>
    <n v="213"/>
  </r>
  <r>
    <s v="ORD0261"/>
    <x v="8"/>
    <d v="2026-06-28T00:00:00"/>
    <s v="Sneha 3"/>
    <x v="3"/>
    <x v="3"/>
    <x v="0"/>
    <n v="4"/>
    <n v="791"/>
    <n v="0.06"/>
    <n v="2974"/>
    <x v="3"/>
    <x v="1"/>
    <n v="297"/>
  </r>
  <r>
    <s v="ORD0262"/>
    <x v="3"/>
    <d v="2026-11-07T00:00:00"/>
    <s v="Karan 30"/>
    <x v="0"/>
    <x v="10"/>
    <x v="0"/>
    <n v="5"/>
    <n v="760"/>
    <n v="0.13"/>
    <n v="3306"/>
    <x v="2"/>
    <x v="2"/>
    <n v="330"/>
  </r>
  <r>
    <s v="ORD0263"/>
    <x v="1"/>
    <d v="2026-05-27T00:00:00"/>
    <s v="Ananya 78"/>
    <x v="2"/>
    <x v="5"/>
    <x v="0"/>
    <n v="4"/>
    <n v="157"/>
    <n v="0.1"/>
    <n v="565"/>
    <x v="1"/>
    <x v="0"/>
    <n v="135"/>
  </r>
  <r>
    <s v="ORD0264"/>
    <x v="6"/>
    <d v="2026-08-21T00:00:00"/>
    <s v="Riya 88"/>
    <x v="3"/>
    <x v="3"/>
    <x v="0"/>
    <n v="5"/>
    <n v="678"/>
    <n v="0.06"/>
    <n v="3186"/>
    <x v="3"/>
    <x v="0"/>
    <n v="892"/>
  </r>
  <r>
    <s v="ORD0265"/>
    <x v="6"/>
    <d v="2026-08-18T00:00:00"/>
    <s v="Vikram 6"/>
    <x v="0"/>
    <x v="0"/>
    <x v="0"/>
    <n v="4"/>
    <n v="746"/>
    <n v="0.03"/>
    <n v="2894"/>
    <x v="2"/>
    <x v="0"/>
    <n v="491"/>
  </r>
  <r>
    <s v="ORD0266"/>
    <x v="8"/>
    <d v="2026-06-18T00:00:00"/>
    <s v="Sneha 62"/>
    <x v="1"/>
    <x v="8"/>
    <x v="0"/>
    <n v="3"/>
    <n v="520"/>
    <n v="0.18"/>
    <n v="1279"/>
    <x v="3"/>
    <x v="2"/>
    <n v="358"/>
  </r>
  <r>
    <s v="ORD0267"/>
    <x v="4"/>
    <d v="2026-09-26T00:00:00"/>
    <s v="Priya 89"/>
    <x v="3"/>
    <x v="3"/>
    <x v="0"/>
    <n v="2"/>
    <n v="87"/>
    <n v="0.15"/>
    <n v="147"/>
    <x v="1"/>
    <x v="2"/>
    <n v="38"/>
  </r>
  <r>
    <s v="ORD0268"/>
    <x v="1"/>
    <d v="2026-05-21T00:00:00"/>
    <s v="Karan 76"/>
    <x v="2"/>
    <x v="7"/>
    <x v="0"/>
    <n v="2"/>
    <n v="474"/>
    <n v="0.01"/>
    <n v="938"/>
    <x v="1"/>
    <x v="1"/>
    <n v="318"/>
  </r>
  <r>
    <s v="ORD0269"/>
    <x v="9"/>
    <d v="2026-03-09T00:00:00"/>
    <s v="Sneha 43"/>
    <x v="2"/>
    <x v="0"/>
    <x v="0"/>
    <n v="5"/>
    <n v="397"/>
    <n v="0.03"/>
    <n v="1925"/>
    <x v="1"/>
    <x v="0"/>
    <n v="192"/>
  </r>
  <r>
    <s v="ORD0270"/>
    <x v="11"/>
    <d v="2026-10-09T00:00:00"/>
    <s v="Rahul 47"/>
    <x v="3"/>
    <x v="0"/>
    <x v="0"/>
    <n v="2"/>
    <n v="180"/>
    <n v="0.1"/>
    <n v="324"/>
    <x v="1"/>
    <x v="2"/>
    <n v="87"/>
  </r>
  <r>
    <s v="ORD0271"/>
    <x v="6"/>
    <d v="2026-08-11T00:00:00"/>
    <s v="Karan 3"/>
    <x v="0"/>
    <x v="6"/>
    <x v="0"/>
    <n v="4"/>
    <n v="387"/>
    <n v="0.19"/>
    <n v="1253"/>
    <x v="3"/>
    <x v="2"/>
    <n v="413"/>
  </r>
  <r>
    <s v="ORD0272"/>
    <x v="9"/>
    <d v="2026-03-17T00:00:00"/>
    <s v="Karan 28"/>
    <x v="1"/>
    <x v="2"/>
    <x v="0"/>
    <n v="5"/>
    <n v="531"/>
    <n v="0"/>
    <n v="2655"/>
    <x v="1"/>
    <x v="0"/>
    <n v="929"/>
  </r>
  <r>
    <s v="ORD0273"/>
    <x v="1"/>
    <d v="2026-05-01T00:00:00"/>
    <s v="Priya 38"/>
    <x v="4"/>
    <x v="1"/>
    <x v="0"/>
    <n v="3"/>
    <n v="632"/>
    <n v="0.11"/>
    <n v="1687"/>
    <x v="1"/>
    <x v="1"/>
    <n v="556"/>
  </r>
  <r>
    <s v="ORD0274"/>
    <x v="0"/>
    <d v="2026-12-08T00:00:00"/>
    <s v="Karan 34"/>
    <x v="1"/>
    <x v="10"/>
    <x v="0"/>
    <n v="1"/>
    <n v="794"/>
    <n v="0.18"/>
    <n v="651"/>
    <x v="2"/>
    <x v="2"/>
    <n v="156"/>
  </r>
  <r>
    <s v="ORD0275"/>
    <x v="5"/>
    <d v="2026-07-20T00:00:00"/>
    <s v="Priya 20"/>
    <x v="0"/>
    <x v="4"/>
    <x v="0"/>
    <n v="1"/>
    <n v="287"/>
    <n v="0.08"/>
    <n v="264"/>
    <x v="0"/>
    <x v="2"/>
    <n v="60"/>
  </r>
  <r>
    <s v="ORD0276"/>
    <x v="5"/>
    <d v="2026-07-25T00:00:00"/>
    <s v="Sneha 54"/>
    <x v="3"/>
    <x v="3"/>
    <x v="0"/>
    <n v="5"/>
    <n v="138"/>
    <n v="0.09"/>
    <n v="627"/>
    <x v="0"/>
    <x v="0"/>
    <n v="213"/>
  </r>
  <r>
    <s v="ORD0277"/>
    <x v="11"/>
    <d v="2026-10-22T00:00:00"/>
    <s v="Riya 20"/>
    <x v="2"/>
    <x v="1"/>
    <x v="0"/>
    <n v="3"/>
    <n v="752"/>
    <n v="0.2"/>
    <n v="1804"/>
    <x v="1"/>
    <x v="0"/>
    <n v="306"/>
  </r>
  <r>
    <s v="ORD0278"/>
    <x v="0"/>
    <d v="2026-12-11T00:00:00"/>
    <s v="Rahul 62"/>
    <x v="3"/>
    <x v="10"/>
    <x v="0"/>
    <n v="3"/>
    <n v="341"/>
    <n v="0.09"/>
    <n v="930"/>
    <x v="1"/>
    <x v="0"/>
    <n v="269"/>
  </r>
  <r>
    <s v="ORD0279"/>
    <x v="7"/>
    <d v="2026-04-15T00:00:00"/>
    <s v="Rahul 46"/>
    <x v="0"/>
    <x v="6"/>
    <x v="0"/>
    <n v="3"/>
    <n v="338"/>
    <n v="0.2"/>
    <n v="811"/>
    <x v="2"/>
    <x v="1"/>
    <n v="89"/>
  </r>
  <r>
    <s v="ORD0280"/>
    <x v="5"/>
    <d v="2026-07-15T00:00:00"/>
    <s v="Priya 74"/>
    <x v="1"/>
    <x v="4"/>
    <x v="0"/>
    <n v="1"/>
    <n v="84"/>
    <n v="0.15"/>
    <n v="71"/>
    <x v="1"/>
    <x v="0"/>
    <n v="9"/>
  </r>
  <r>
    <s v="ORD0281"/>
    <x v="7"/>
    <d v="2026-04-10T00:00:00"/>
    <s v="Rahul 25"/>
    <x v="2"/>
    <x v="1"/>
    <x v="0"/>
    <n v="3"/>
    <n v="775"/>
    <n v="0.08"/>
    <n v="2139"/>
    <x v="1"/>
    <x v="2"/>
    <n v="491"/>
  </r>
  <r>
    <s v="ORD0282"/>
    <x v="3"/>
    <d v="2026-11-27T00:00:00"/>
    <s v="Priya 61"/>
    <x v="0"/>
    <x v="6"/>
    <x v="0"/>
    <n v="3"/>
    <n v="95"/>
    <n v="0.19"/>
    <n v="230"/>
    <x v="0"/>
    <x v="2"/>
    <n v="34"/>
  </r>
  <r>
    <s v="ORD0283"/>
    <x v="9"/>
    <d v="2026-03-06T00:00:00"/>
    <s v="Sneha 16"/>
    <x v="0"/>
    <x v="3"/>
    <x v="0"/>
    <n v="2"/>
    <n v="232"/>
    <n v="0.2"/>
    <n v="371"/>
    <x v="2"/>
    <x v="0"/>
    <n v="129"/>
  </r>
  <r>
    <s v="ORD0284"/>
    <x v="5"/>
    <d v="2026-07-26T00:00:00"/>
    <s v="Karan 48"/>
    <x v="4"/>
    <x v="2"/>
    <x v="0"/>
    <n v="4"/>
    <n v="316"/>
    <n v="0"/>
    <n v="1264"/>
    <x v="0"/>
    <x v="1"/>
    <n v="303"/>
  </r>
  <r>
    <s v="ORD0285"/>
    <x v="3"/>
    <d v="2026-11-04T00:00:00"/>
    <s v="Priya 2"/>
    <x v="2"/>
    <x v="1"/>
    <x v="0"/>
    <n v="5"/>
    <n v="329"/>
    <n v="0.01"/>
    <n v="1628"/>
    <x v="1"/>
    <x v="1"/>
    <n v="179"/>
  </r>
  <r>
    <s v="ORD0286"/>
    <x v="0"/>
    <d v="2026-12-03T00:00:00"/>
    <s v="Karan 87"/>
    <x v="0"/>
    <x v="7"/>
    <x v="0"/>
    <n v="2"/>
    <n v="220"/>
    <n v="0.16"/>
    <n v="369"/>
    <x v="3"/>
    <x v="0"/>
    <n v="88"/>
  </r>
  <r>
    <s v="ORD0287"/>
    <x v="0"/>
    <d v="2026-12-22T00:00:00"/>
    <s v="Priya 45"/>
    <x v="1"/>
    <x v="4"/>
    <x v="0"/>
    <n v="3"/>
    <n v="610"/>
    <n v="0.13"/>
    <n v="1592"/>
    <x v="2"/>
    <x v="0"/>
    <n v="270"/>
  </r>
  <r>
    <s v="ORD0288"/>
    <x v="1"/>
    <d v="2026-05-11T00:00:00"/>
    <s v="Rahul 85"/>
    <x v="1"/>
    <x v="0"/>
    <x v="0"/>
    <n v="4"/>
    <n v="423"/>
    <n v="0.17"/>
    <n v="1404"/>
    <x v="0"/>
    <x v="0"/>
    <n v="294"/>
  </r>
  <r>
    <s v="ORD0289"/>
    <x v="10"/>
    <d v="2026-01-20T00:00:00"/>
    <s v="Priya 18"/>
    <x v="0"/>
    <x v="10"/>
    <x v="0"/>
    <n v="1"/>
    <n v="104"/>
    <n v="0"/>
    <n v="104"/>
    <x v="3"/>
    <x v="1"/>
    <n v="14"/>
  </r>
  <r>
    <s v="ORD0290"/>
    <x v="5"/>
    <d v="2026-07-06T00:00:00"/>
    <s v="Sneha 66"/>
    <x v="2"/>
    <x v="3"/>
    <x v="0"/>
    <n v="3"/>
    <n v="646"/>
    <n v="0.13"/>
    <n v="1686"/>
    <x v="3"/>
    <x v="2"/>
    <n v="286"/>
  </r>
  <r>
    <s v="ORD0291"/>
    <x v="2"/>
    <d v="2026-02-25T00:00:00"/>
    <s v="Riya 54"/>
    <x v="3"/>
    <x v="6"/>
    <x v="0"/>
    <n v="4"/>
    <n v="562"/>
    <n v="0.18"/>
    <n v="1843"/>
    <x v="2"/>
    <x v="2"/>
    <n v="552"/>
  </r>
  <r>
    <s v="ORD0292"/>
    <x v="2"/>
    <d v="2026-02-24T00:00:00"/>
    <s v="Karan 35"/>
    <x v="3"/>
    <x v="5"/>
    <x v="0"/>
    <n v="4"/>
    <n v="87"/>
    <n v="0"/>
    <n v="348"/>
    <x v="0"/>
    <x v="2"/>
    <n v="80"/>
  </r>
  <r>
    <s v="ORD0293"/>
    <x v="3"/>
    <d v="2026-11-14T00:00:00"/>
    <s v="Vikram 71"/>
    <x v="0"/>
    <x v="9"/>
    <x v="0"/>
    <n v="3"/>
    <n v="318"/>
    <n v="0.16"/>
    <n v="801"/>
    <x v="2"/>
    <x v="2"/>
    <n v="256"/>
  </r>
  <r>
    <s v="ORD0294"/>
    <x v="11"/>
    <d v="2026-10-24T00:00:00"/>
    <s v="Vikram 88"/>
    <x v="3"/>
    <x v="6"/>
    <x v="0"/>
    <n v="4"/>
    <n v="795"/>
    <n v="0.11"/>
    <n v="2830"/>
    <x v="1"/>
    <x v="1"/>
    <n v="650"/>
  </r>
  <r>
    <s v="ORD0295"/>
    <x v="11"/>
    <d v="2026-10-14T00:00:00"/>
    <s v="Vikram 65"/>
    <x v="2"/>
    <x v="0"/>
    <x v="0"/>
    <n v="4"/>
    <n v="662"/>
    <n v="0.16"/>
    <n v="2224"/>
    <x v="2"/>
    <x v="0"/>
    <n v="533"/>
  </r>
  <r>
    <s v="ORD0296"/>
    <x v="4"/>
    <d v="2026-09-24T00:00:00"/>
    <s v="Riya 11"/>
    <x v="0"/>
    <x v="7"/>
    <x v="0"/>
    <n v="3"/>
    <n v="548"/>
    <n v="0.01"/>
    <n v="1627"/>
    <x v="1"/>
    <x v="0"/>
    <n v="471"/>
  </r>
  <r>
    <s v="ORD0297"/>
    <x v="7"/>
    <d v="2026-04-25T00:00:00"/>
    <s v="Rahul 53"/>
    <x v="1"/>
    <x v="9"/>
    <x v="0"/>
    <n v="5"/>
    <n v="352"/>
    <n v="0.18"/>
    <n v="1443"/>
    <x v="1"/>
    <x v="2"/>
    <n v="230"/>
  </r>
  <r>
    <s v="ORD0298"/>
    <x v="10"/>
    <d v="2026-01-05T00:00:00"/>
    <s v="Sneha 32"/>
    <x v="0"/>
    <x v="8"/>
    <x v="0"/>
    <n v="2"/>
    <n v="782"/>
    <n v="0.11"/>
    <n v="1391"/>
    <x v="3"/>
    <x v="1"/>
    <n v="403"/>
  </r>
  <r>
    <s v="ORD0299"/>
    <x v="5"/>
    <d v="2026-07-28T00:00:00"/>
    <s v="Rahul 12"/>
    <x v="4"/>
    <x v="8"/>
    <x v="0"/>
    <n v="1"/>
    <n v="540"/>
    <n v="0.16"/>
    <n v="453"/>
    <x v="2"/>
    <x v="2"/>
    <n v="86"/>
  </r>
  <r>
    <s v="ORD0300"/>
    <x v="11"/>
    <d v="2026-10-02T00:00:00"/>
    <s v="Priya 9"/>
    <x v="1"/>
    <x v="3"/>
    <x v="0"/>
    <n v="1"/>
    <n v="485"/>
    <n v="0.12"/>
    <n v="426"/>
    <x v="0"/>
    <x v="0"/>
    <n v="55"/>
  </r>
  <r>
    <s v="ORD0301"/>
    <x v="11"/>
    <d v="2026-10-26T00:00:00"/>
    <s v="Priya 80"/>
    <x v="0"/>
    <x v="2"/>
    <x v="0"/>
    <n v="3"/>
    <n v="111"/>
    <n v="0.01"/>
    <n v="329"/>
    <x v="1"/>
    <x v="0"/>
    <n v="98"/>
  </r>
  <r>
    <s v="ORD0302"/>
    <x v="2"/>
    <d v="2026-02-22T00:00:00"/>
    <s v="Karan 12"/>
    <x v="0"/>
    <x v="4"/>
    <x v="0"/>
    <n v="4"/>
    <n v="339"/>
    <n v="0.17"/>
    <n v="1125"/>
    <x v="0"/>
    <x v="2"/>
    <n v="382"/>
  </r>
  <r>
    <s v="ORD0303"/>
    <x v="4"/>
    <d v="2026-09-16T00:00:00"/>
    <s v="Aarav 38"/>
    <x v="1"/>
    <x v="9"/>
    <x v="0"/>
    <n v="2"/>
    <n v="694"/>
    <n v="0.19"/>
    <n v="1124"/>
    <x v="2"/>
    <x v="1"/>
    <n v="348"/>
  </r>
  <r>
    <s v="ORD0304"/>
    <x v="8"/>
    <d v="2026-06-05T00:00:00"/>
    <s v="Sneha 76"/>
    <x v="0"/>
    <x v="3"/>
    <x v="0"/>
    <n v="1"/>
    <n v="227"/>
    <n v="0.06"/>
    <n v="213"/>
    <x v="2"/>
    <x v="1"/>
    <n v="25"/>
  </r>
  <r>
    <s v="ORD0305"/>
    <x v="10"/>
    <d v="2026-01-16T00:00:00"/>
    <s v="Vikram 17"/>
    <x v="2"/>
    <x v="8"/>
    <x v="0"/>
    <n v="2"/>
    <n v="700"/>
    <n v="0.05"/>
    <n v="1330"/>
    <x v="0"/>
    <x v="0"/>
    <n v="279"/>
  </r>
  <r>
    <s v="ORD0306"/>
    <x v="3"/>
    <d v="2026-11-22T00:00:00"/>
    <s v="Riya 25"/>
    <x v="4"/>
    <x v="0"/>
    <x v="0"/>
    <n v="5"/>
    <n v="607"/>
    <n v="0.17"/>
    <n v="2519"/>
    <x v="0"/>
    <x v="2"/>
    <n v="579"/>
  </r>
  <r>
    <s v="ORD0307"/>
    <x v="8"/>
    <d v="2026-06-02T00:00:00"/>
    <s v="Vikram 71"/>
    <x v="4"/>
    <x v="5"/>
    <x v="0"/>
    <n v="2"/>
    <n v="499"/>
    <n v="0.02"/>
    <n v="978"/>
    <x v="1"/>
    <x v="1"/>
    <n v="322"/>
  </r>
  <r>
    <s v="ORD0308"/>
    <x v="6"/>
    <d v="2026-08-13T00:00:00"/>
    <s v="Vikram 3"/>
    <x v="1"/>
    <x v="2"/>
    <x v="0"/>
    <n v="3"/>
    <n v="704"/>
    <n v="0.05"/>
    <n v="2006"/>
    <x v="1"/>
    <x v="2"/>
    <n v="200"/>
  </r>
  <r>
    <s v="ORD0309"/>
    <x v="3"/>
    <d v="2026-11-20T00:00:00"/>
    <s v="Ananya 14"/>
    <x v="3"/>
    <x v="6"/>
    <x v="0"/>
    <n v="2"/>
    <n v="184"/>
    <n v="0.01"/>
    <n v="364"/>
    <x v="1"/>
    <x v="1"/>
    <n v="91"/>
  </r>
  <r>
    <s v="ORD0310"/>
    <x v="4"/>
    <d v="2026-09-02T00:00:00"/>
    <s v="Vikram 41"/>
    <x v="0"/>
    <x v="3"/>
    <x v="0"/>
    <n v="2"/>
    <n v="230"/>
    <n v="0.03"/>
    <n v="446"/>
    <x v="3"/>
    <x v="1"/>
    <n v="156"/>
  </r>
  <r>
    <s v="ORD0311"/>
    <x v="7"/>
    <d v="2026-04-02T00:00:00"/>
    <s v="Ananya 85"/>
    <x v="3"/>
    <x v="0"/>
    <x v="0"/>
    <n v="2"/>
    <n v="510"/>
    <n v="0"/>
    <n v="1020"/>
    <x v="0"/>
    <x v="1"/>
    <n v="306"/>
  </r>
  <r>
    <s v="ORD0312"/>
    <x v="7"/>
    <d v="2026-04-02T00:00:00"/>
    <s v="Priya 30"/>
    <x v="1"/>
    <x v="10"/>
    <x v="0"/>
    <n v="1"/>
    <n v="339"/>
    <n v="0.13"/>
    <n v="294"/>
    <x v="3"/>
    <x v="0"/>
    <n v="61"/>
  </r>
  <r>
    <s v="ORD0313"/>
    <x v="6"/>
    <d v="2026-08-26T00:00:00"/>
    <s v="Rahul 26"/>
    <x v="2"/>
    <x v="3"/>
    <x v="0"/>
    <n v="4"/>
    <n v="719"/>
    <n v="0.02"/>
    <n v="2818"/>
    <x v="1"/>
    <x v="2"/>
    <n v="338"/>
  </r>
  <r>
    <s v="ORD0314"/>
    <x v="3"/>
    <d v="2026-11-09T00:00:00"/>
    <s v="Aarav 58"/>
    <x v="0"/>
    <x v="2"/>
    <x v="0"/>
    <n v="4"/>
    <n v="662"/>
    <n v="0.14000000000000001"/>
    <n v="2277"/>
    <x v="1"/>
    <x v="1"/>
    <n v="523"/>
  </r>
  <r>
    <s v="ORD0315"/>
    <x v="8"/>
    <d v="2026-06-01T00:00:00"/>
    <s v="Sneha 99"/>
    <x v="0"/>
    <x v="4"/>
    <x v="0"/>
    <n v="2"/>
    <n v="725"/>
    <n v="0.03"/>
    <n v="1406"/>
    <x v="0"/>
    <x v="2"/>
    <n v="267"/>
  </r>
  <r>
    <s v="ORD0316"/>
    <x v="4"/>
    <d v="2026-09-22T00:00:00"/>
    <s v="Vikram 29"/>
    <x v="3"/>
    <x v="7"/>
    <x v="0"/>
    <n v="3"/>
    <n v="502"/>
    <n v="0.2"/>
    <n v="1204"/>
    <x v="2"/>
    <x v="1"/>
    <n v="385"/>
  </r>
  <r>
    <s v="ORD0317"/>
    <x v="6"/>
    <d v="2026-08-16T00:00:00"/>
    <s v="Vikram 76"/>
    <x v="4"/>
    <x v="2"/>
    <x v="0"/>
    <n v="1"/>
    <n v="207"/>
    <n v="0.09"/>
    <n v="188"/>
    <x v="1"/>
    <x v="1"/>
    <n v="54"/>
  </r>
  <r>
    <s v="ORD0318"/>
    <x v="1"/>
    <d v="2026-05-19T00:00:00"/>
    <s v="Rahul 15"/>
    <x v="0"/>
    <x v="7"/>
    <x v="0"/>
    <n v="5"/>
    <n v="759"/>
    <n v="0.13"/>
    <n v="3301"/>
    <x v="0"/>
    <x v="1"/>
    <n v="693"/>
  </r>
  <r>
    <s v="ORD0319"/>
    <x v="10"/>
    <d v="2026-01-27T00:00:00"/>
    <s v="Priya 68"/>
    <x v="1"/>
    <x v="6"/>
    <x v="0"/>
    <n v="2"/>
    <n v="702"/>
    <n v="0"/>
    <n v="1404"/>
    <x v="3"/>
    <x v="0"/>
    <n v="252"/>
  </r>
  <r>
    <s v="ORD0320"/>
    <x v="2"/>
    <d v="2026-02-15T00:00:00"/>
    <s v="Sneha 54"/>
    <x v="3"/>
    <x v="1"/>
    <x v="0"/>
    <n v="4"/>
    <n v="633"/>
    <n v="0.14000000000000001"/>
    <n v="2177"/>
    <x v="2"/>
    <x v="2"/>
    <n v="500"/>
  </r>
  <r>
    <s v="ORD0321"/>
    <x v="0"/>
    <d v="2026-12-25T00:00:00"/>
    <s v="Rahul 49"/>
    <x v="1"/>
    <x v="9"/>
    <x v="0"/>
    <n v="3"/>
    <n v="149"/>
    <n v="0.17"/>
    <n v="371"/>
    <x v="1"/>
    <x v="2"/>
    <n v="44"/>
  </r>
  <r>
    <s v="ORD0322"/>
    <x v="4"/>
    <d v="2026-09-26T00:00:00"/>
    <s v="Sneha 61"/>
    <x v="1"/>
    <x v="0"/>
    <x v="0"/>
    <n v="3"/>
    <n v="752"/>
    <n v="7.0000000000000007E-2"/>
    <n v="2098"/>
    <x v="2"/>
    <x v="1"/>
    <n v="440"/>
  </r>
  <r>
    <s v="ORD0323"/>
    <x v="10"/>
    <d v="2026-01-09T00:00:00"/>
    <s v="Ananya 32"/>
    <x v="0"/>
    <x v="1"/>
    <x v="0"/>
    <n v="5"/>
    <n v="150"/>
    <n v="0.16"/>
    <n v="630"/>
    <x v="1"/>
    <x v="2"/>
    <n v="119"/>
  </r>
  <r>
    <s v="ORD0324"/>
    <x v="8"/>
    <d v="2026-06-09T00:00:00"/>
    <s v="Sneha 50"/>
    <x v="3"/>
    <x v="4"/>
    <x v="0"/>
    <n v="3"/>
    <n v="667"/>
    <n v="0.09"/>
    <n v="1820"/>
    <x v="3"/>
    <x v="2"/>
    <n v="254"/>
  </r>
  <r>
    <s v="ORD0325"/>
    <x v="7"/>
    <d v="2026-04-22T00:00:00"/>
    <s v="Priya 94"/>
    <x v="2"/>
    <x v="10"/>
    <x v="0"/>
    <n v="2"/>
    <n v="187"/>
    <n v="0.2"/>
    <n v="299"/>
    <x v="1"/>
    <x v="2"/>
    <n v="89"/>
  </r>
  <r>
    <s v="ORD0326"/>
    <x v="3"/>
    <d v="2026-11-03T00:00:00"/>
    <s v="Sneha 39"/>
    <x v="1"/>
    <x v="6"/>
    <x v="0"/>
    <n v="5"/>
    <n v="202"/>
    <n v="0.16"/>
    <n v="848"/>
    <x v="2"/>
    <x v="1"/>
    <n v="110"/>
  </r>
  <r>
    <s v="ORD0327"/>
    <x v="2"/>
    <d v="2026-02-28T00:00:00"/>
    <s v="Aarav 64"/>
    <x v="1"/>
    <x v="2"/>
    <x v="0"/>
    <n v="5"/>
    <n v="517"/>
    <n v="0.16"/>
    <n v="2171"/>
    <x v="2"/>
    <x v="0"/>
    <n v="738"/>
  </r>
  <r>
    <s v="ORD0328"/>
    <x v="3"/>
    <d v="2026-11-21T00:00:00"/>
    <s v="Sneha 12"/>
    <x v="2"/>
    <x v="8"/>
    <x v="0"/>
    <n v="3"/>
    <n v="491"/>
    <n v="0.1"/>
    <n v="1325"/>
    <x v="1"/>
    <x v="1"/>
    <n v="225"/>
  </r>
  <r>
    <s v="ORD0329"/>
    <x v="3"/>
    <d v="2026-11-23T00:00:00"/>
    <s v="Aarav 20"/>
    <x v="0"/>
    <x v="0"/>
    <x v="0"/>
    <n v="1"/>
    <n v="774"/>
    <n v="0.01"/>
    <n v="766"/>
    <x v="2"/>
    <x v="1"/>
    <n v="268"/>
  </r>
  <r>
    <s v="ORD0330"/>
    <x v="10"/>
    <d v="2026-01-21T00:00:00"/>
    <s v="Vikram 71"/>
    <x v="0"/>
    <x v="6"/>
    <x v="0"/>
    <n v="4"/>
    <n v="116"/>
    <n v="0.04"/>
    <n v="445"/>
    <x v="3"/>
    <x v="2"/>
    <n v="93"/>
  </r>
  <r>
    <s v="ORD0331"/>
    <x v="2"/>
    <d v="2026-02-26T00:00:00"/>
    <s v="Riya 21"/>
    <x v="2"/>
    <x v="0"/>
    <x v="0"/>
    <n v="2"/>
    <n v="151"/>
    <n v="0.06"/>
    <n v="283"/>
    <x v="2"/>
    <x v="1"/>
    <n v="82"/>
  </r>
  <r>
    <s v="ORD0332"/>
    <x v="1"/>
    <d v="2026-05-12T00:00:00"/>
    <s v="Karan 43"/>
    <x v="1"/>
    <x v="1"/>
    <x v="0"/>
    <n v="4"/>
    <n v="561"/>
    <n v="0.05"/>
    <n v="2131"/>
    <x v="3"/>
    <x v="0"/>
    <n v="490"/>
  </r>
  <r>
    <s v="ORD0333"/>
    <x v="3"/>
    <d v="2026-11-04T00:00:00"/>
    <s v="Rahul 18"/>
    <x v="2"/>
    <x v="8"/>
    <x v="0"/>
    <n v="5"/>
    <n v="622"/>
    <n v="0.04"/>
    <n v="2985"/>
    <x v="2"/>
    <x v="2"/>
    <n v="626"/>
  </r>
  <r>
    <s v="ORD0334"/>
    <x v="3"/>
    <d v="2026-11-02T00:00:00"/>
    <s v="Riya 53"/>
    <x v="2"/>
    <x v="1"/>
    <x v="0"/>
    <n v="5"/>
    <n v="755"/>
    <n v="0.02"/>
    <n v="3699"/>
    <x v="3"/>
    <x v="0"/>
    <n v="739"/>
  </r>
  <r>
    <s v="ORD0335"/>
    <x v="6"/>
    <d v="2026-08-25T00:00:00"/>
    <s v="Ananya 50"/>
    <x v="0"/>
    <x v="5"/>
    <x v="0"/>
    <n v="5"/>
    <n v="709"/>
    <n v="7.0000000000000007E-2"/>
    <n v="3296"/>
    <x v="2"/>
    <x v="0"/>
    <n v="922"/>
  </r>
  <r>
    <s v="ORD0336"/>
    <x v="10"/>
    <d v="2026-01-16T00:00:00"/>
    <s v="Riya 31"/>
    <x v="4"/>
    <x v="6"/>
    <x v="0"/>
    <n v="4"/>
    <n v="385"/>
    <n v="0.06"/>
    <n v="1447"/>
    <x v="2"/>
    <x v="0"/>
    <n v="434"/>
  </r>
  <r>
    <s v="ORD0337"/>
    <x v="6"/>
    <d v="2026-08-21T00:00:00"/>
    <s v="Aarav 27"/>
    <x v="2"/>
    <x v="5"/>
    <x v="0"/>
    <n v="3"/>
    <n v="657"/>
    <n v="0.06"/>
    <n v="1852"/>
    <x v="2"/>
    <x v="1"/>
    <n v="425"/>
  </r>
  <r>
    <s v="ORD0338"/>
    <x v="1"/>
    <d v="2026-05-28T00:00:00"/>
    <s v="Riya 9"/>
    <x v="0"/>
    <x v="2"/>
    <x v="0"/>
    <n v="5"/>
    <n v="214"/>
    <n v="0.2"/>
    <n v="856"/>
    <x v="3"/>
    <x v="1"/>
    <n v="299"/>
  </r>
  <r>
    <s v="ORD0339"/>
    <x v="6"/>
    <d v="2026-08-03T00:00:00"/>
    <s v="Vikram 17"/>
    <x v="3"/>
    <x v="7"/>
    <x v="0"/>
    <n v="2"/>
    <n v="366"/>
    <n v="0.08"/>
    <n v="673"/>
    <x v="3"/>
    <x v="1"/>
    <n v="168"/>
  </r>
  <r>
    <s v="ORD0340"/>
    <x v="2"/>
    <d v="2026-02-14T00:00:00"/>
    <s v="Rahul 48"/>
    <x v="0"/>
    <x v="5"/>
    <x v="0"/>
    <n v="5"/>
    <n v="667"/>
    <n v="7.0000000000000007E-2"/>
    <n v="3101"/>
    <x v="0"/>
    <x v="2"/>
    <n v="496"/>
  </r>
  <r>
    <s v="ORD0341"/>
    <x v="6"/>
    <d v="2026-08-24T00:00:00"/>
    <s v="Priya 3"/>
    <x v="1"/>
    <x v="1"/>
    <x v="0"/>
    <n v="1"/>
    <n v="144"/>
    <n v="0.18"/>
    <n v="118"/>
    <x v="0"/>
    <x v="0"/>
    <n v="14"/>
  </r>
  <r>
    <s v="ORD0342"/>
    <x v="8"/>
    <d v="2026-06-12T00:00:00"/>
    <s v="Sneha 10"/>
    <x v="3"/>
    <x v="3"/>
    <x v="0"/>
    <n v="1"/>
    <n v="783"/>
    <n v="0.03"/>
    <n v="759"/>
    <x v="1"/>
    <x v="1"/>
    <n v="144"/>
  </r>
  <r>
    <s v="ORD0343"/>
    <x v="5"/>
    <d v="2026-07-07T00:00:00"/>
    <s v="Vikram 52"/>
    <x v="4"/>
    <x v="5"/>
    <x v="0"/>
    <n v="2"/>
    <n v="289"/>
    <n v="0.09"/>
    <n v="525"/>
    <x v="3"/>
    <x v="1"/>
    <n v="94"/>
  </r>
  <r>
    <s v="ORD0344"/>
    <x v="5"/>
    <d v="2026-07-18T00:00:00"/>
    <s v="Aarav 79"/>
    <x v="3"/>
    <x v="1"/>
    <x v="0"/>
    <n v="4"/>
    <n v="676"/>
    <n v="0.11"/>
    <n v="2406"/>
    <x v="3"/>
    <x v="2"/>
    <n v="240"/>
  </r>
  <r>
    <s v="ORD0345"/>
    <x v="11"/>
    <d v="2026-10-03T00:00:00"/>
    <s v="Riya 55"/>
    <x v="2"/>
    <x v="1"/>
    <x v="0"/>
    <n v="2"/>
    <n v="317"/>
    <n v="0.05"/>
    <n v="602"/>
    <x v="0"/>
    <x v="0"/>
    <n v="102"/>
  </r>
  <r>
    <s v="ORD0346"/>
    <x v="7"/>
    <d v="2026-04-22T00:00:00"/>
    <s v="Karan 24"/>
    <x v="1"/>
    <x v="10"/>
    <x v="0"/>
    <n v="1"/>
    <n v="640"/>
    <n v="7.0000000000000007E-2"/>
    <n v="595"/>
    <x v="1"/>
    <x v="2"/>
    <n v="172"/>
  </r>
  <r>
    <s v="ORD0347"/>
    <x v="10"/>
    <d v="2026-01-05T00:00:00"/>
    <s v="Sneha 42"/>
    <x v="3"/>
    <x v="7"/>
    <x v="0"/>
    <n v="1"/>
    <n v="133"/>
    <n v="0"/>
    <n v="133"/>
    <x v="3"/>
    <x v="1"/>
    <n v="18"/>
  </r>
  <r>
    <s v="ORD0348"/>
    <x v="2"/>
    <d v="2026-02-10T00:00:00"/>
    <s v="Vikram 22"/>
    <x v="2"/>
    <x v="2"/>
    <x v="0"/>
    <n v="3"/>
    <n v="94"/>
    <n v="0.11"/>
    <n v="250"/>
    <x v="1"/>
    <x v="1"/>
    <n v="67"/>
  </r>
  <r>
    <s v="ORD0349"/>
    <x v="2"/>
    <d v="2026-02-28T00:00:00"/>
    <s v="Aarav 63"/>
    <x v="4"/>
    <x v="6"/>
    <x v="0"/>
    <n v="3"/>
    <n v="757"/>
    <n v="0.16"/>
    <n v="1907"/>
    <x v="3"/>
    <x v="1"/>
    <n v="343"/>
  </r>
  <r>
    <s v="ORD0350"/>
    <x v="0"/>
    <d v="2026-12-28T00:00:00"/>
    <s v="Karan 68"/>
    <x v="4"/>
    <x v="9"/>
    <x v="0"/>
    <n v="4"/>
    <n v="339"/>
    <n v="0.01"/>
    <n v="1342"/>
    <x v="3"/>
    <x v="0"/>
    <n v="147"/>
  </r>
  <r>
    <s v="ORD0351"/>
    <x v="4"/>
    <d v="2026-09-02T00:00:00"/>
    <s v="Karan 96"/>
    <x v="0"/>
    <x v="4"/>
    <x v="0"/>
    <n v="5"/>
    <n v="563"/>
    <n v="0.06"/>
    <n v="2646"/>
    <x v="2"/>
    <x v="2"/>
    <n v="317"/>
  </r>
  <r>
    <s v="ORD0352"/>
    <x v="0"/>
    <d v="2026-12-26T00:00:00"/>
    <s v="Priya 94"/>
    <x v="2"/>
    <x v="4"/>
    <x v="0"/>
    <n v="5"/>
    <n v="511"/>
    <n v="0.19"/>
    <n v="2069"/>
    <x v="0"/>
    <x v="1"/>
    <n v="620"/>
  </r>
  <r>
    <s v="ORD0353"/>
    <x v="7"/>
    <d v="2026-04-22T00:00:00"/>
    <s v="Priya 8"/>
    <x v="3"/>
    <x v="6"/>
    <x v="0"/>
    <n v="1"/>
    <n v="748"/>
    <n v="0.18"/>
    <n v="613"/>
    <x v="2"/>
    <x v="2"/>
    <n v="91"/>
  </r>
  <r>
    <s v="ORD0354"/>
    <x v="9"/>
    <d v="2026-03-27T00:00:00"/>
    <s v="Vikram 96"/>
    <x v="3"/>
    <x v="3"/>
    <x v="0"/>
    <n v="1"/>
    <n v="704"/>
    <n v="0.13"/>
    <n v="612"/>
    <x v="2"/>
    <x v="2"/>
    <n v="153"/>
  </r>
  <r>
    <s v="ORD0355"/>
    <x v="8"/>
    <d v="2026-06-20T00:00:00"/>
    <s v="Vikram 69"/>
    <x v="0"/>
    <x v="4"/>
    <x v="0"/>
    <n v="1"/>
    <n v="391"/>
    <n v="0.14000000000000001"/>
    <n v="336"/>
    <x v="3"/>
    <x v="0"/>
    <n v="110"/>
  </r>
  <r>
    <s v="ORD0356"/>
    <x v="9"/>
    <d v="2026-03-01T00:00:00"/>
    <s v="Ananya 84"/>
    <x v="1"/>
    <x v="8"/>
    <x v="0"/>
    <n v="2"/>
    <n v="378"/>
    <n v="0.18"/>
    <n v="619"/>
    <x v="1"/>
    <x v="0"/>
    <n v="92"/>
  </r>
  <r>
    <s v="ORD0357"/>
    <x v="3"/>
    <d v="2026-11-10T00:00:00"/>
    <s v="Karan 30"/>
    <x v="4"/>
    <x v="0"/>
    <x v="0"/>
    <n v="3"/>
    <n v="596"/>
    <n v="0.04"/>
    <n v="1716"/>
    <x v="3"/>
    <x v="0"/>
    <n v="411"/>
  </r>
  <r>
    <s v="ORD0358"/>
    <x v="8"/>
    <d v="2026-06-11T00:00:00"/>
    <s v="Karan 2"/>
    <x v="3"/>
    <x v="4"/>
    <x v="0"/>
    <n v="3"/>
    <n v="732"/>
    <n v="0.17"/>
    <n v="1822"/>
    <x v="0"/>
    <x v="1"/>
    <n v="637"/>
  </r>
  <r>
    <s v="ORD0359"/>
    <x v="11"/>
    <d v="2026-10-03T00:00:00"/>
    <s v="Rahul 38"/>
    <x v="3"/>
    <x v="0"/>
    <x v="0"/>
    <n v="2"/>
    <n v="547"/>
    <n v="0.08"/>
    <n v="1006"/>
    <x v="3"/>
    <x v="1"/>
    <n v="100"/>
  </r>
  <r>
    <s v="ORD0360"/>
    <x v="0"/>
    <d v="2026-12-24T00:00:00"/>
    <s v="Karan 36"/>
    <x v="0"/>
    <x v="5"/>
    <x v="0"/>
    <n v="1"/>
    <n v="224"/>
    <n v="0.05"/>
    <n v="212"/>
    <x v="2"/>
    <x v="2"/>
    <n v="65"/>
  </r>
  <r>
    <s v="ORD0361"/>
    <x v="11"/>
    <d v="2026-10-05T00:00:00"/>
    <s v="Karan 56"/>
    <x v="4"/>
    <x v="0"/>
    <x v="0"/>
    <n v="5"/>
    <n v="710"/>
    <n v="0.08"/>
    <n v="3266"/>
    <x v="1"/>
    <x v="0"/>
    <n v="489"/>
  </r>
  <r>
    <s v="ORD0362"/>
    <x v="10"/>
    <d v="2026-01-20T00:00:00"/>
    <s v="Sneha 1"/>
    <x v="4"/>
    <x v="9"/>
    <x v="0"/>
    <n v="2"/>
    <n v="405"/>
    <n v="0.01"/>
    <n v="801"/>
    <x v="0"/>
    <x v="0"/>
    <n v="112"/>
  </r>
  <r>
    <s v="ORD0363"/>
    <x v="2"/>
    <d v="2026-02-05T00:00:00"/>
    <s v="Aarav 73"/>
    <x v="3"/>
    <x v="1"/>
    <x v="0"/>
    <n v="1"/>
    <n v="258"/>
    <n v="0.04"/>
    <n v="247"/>
    <x v="1"/>
    <x v="2"/>
    <n v="81"/>
  </r>
  <r>
    <s v="ORD0364"/>
    <x v="10"/>
    <d v="2026-01-06T00:00:00"/>
    <s v="Priya 14"/>
    <x v="0"/>
    <x v="5"/>
    <x v="0"/>
    <n v="2"/>
    <n v="180"/>
    <n v="0.04"/>
    <n v="345"/>
    <x v="0"/>
    <x v="0"/>
    <n v="79"/>
  </r>
  <r>
    <s v="ORD0365"/>
    <x v="10"/>
    <d v="2026-01-01T00:00:00"/>
    <s v="Sneha 1"/>
    <x v="4"/>
    <x v="0"/>
    <x v="0"/>
    <n v="4"/>
    <n v="163"/>
    <n v="0.14000000000000001"/>
    <n v="560"/>
    <x v="1"/>
    <x v="1"/>
    <n v="67"/>
  </r>
  <r>
    <s v="ORD0366"/>
    <x v="9"/>
    <d v="2026-03-02T00:00:00"/>
    <s v="Sneha 20"/>
    <x v="3"/>
    <x v="3"/>
    <x v="0"/>
    <n v="5"/>
    <n v="466"/>
    <n v="0.06"/>
    <n v="2190"/>
    <x v="1"/>
    <x v="0"/>
    <n v="766"/>
  </r>
  <r>
    <s v="ORD0367"/>
    <x v="3"/>
    <d v="2026-11-20T00:00:00"/>
    <s v="Ananya 25"/>
    <x v="2"/>
    <x v="0"/>
    <x v="0"/>
    <n v="3"/>
    <n v="295"/>
    <n v="0.03"/>
    <n v="858"/>
    <x v="1"/>
    <x v="1"/>
    <n v="163"/>
  </r>
  <r>
    <s v="ORD0368"/>
    <x v="5"/>
    <d v="2026-07-11T00:00:00"/>
    <s v="Aarav 96"/>
    <x v="4"/>
    <x v="2"/>
    <x v="0"/>
    <n v="4"/>
    <n v="656"/>
    <n v="0.06"/>
    <n v="2466"/>
    <x v="0"/>
    <x v="0"/>
    <n v="468"/>
  </r>
  <r>
    <s v="ORD0369"/>
    <x v="4"/>
    <d v="2026-09-12T00:00:00"/>
    <s v="Vikram 45"/>
    <x v="1"/>
    <x v="10"/>
    <x v="0"/>
    <n v="5"/>
    <n v="293"/>
    <n v="0.01"/>
    <n v="1450"/>
    <x v="2"/>
    <x v="0"/>
    <n v="406"/>
  </r>
  <r>
    <s v="ORD0370"/>
    <x v="5"/>
    <d v="2026-07-13T00:00:00"/>
    <s v="Karan 76"/>
    <x v="0"/>
    <x v="9"/>
    <x v="0"/>
    <n v="4"/>
    <n v="642"/>
    <n v="0.12"/>
    <n v="2259"/>
    <x v="1"/>
    <x v="2"/>
    <n v="542"/>
  </r>
  <r>
    <s v="ORD0371"/>
    <x v="5"/>
    <d v="2026-07-15T00:00:00"/>
    <s v="Vikram 27"/>
    <x v="4"/>
    <x v="7"/>
    <x v="0"/>
    <n v="1"/>
    <n v="282"/>
    <n v="0.18"/>
    <n v="231"/>
    <x v="3"/>
    <x v="1"/>
    <n v="53"/>
  </r>
  <r>
    <s v="ORD0372"/>
    <x v="10"/>
    <d v="2026-01-27T00:00:00"/>
    <s v="Priya 97"/>
    <x v="0"/>
    <x v="5"/>
    <x v="0"/>
    <n v="5"/>
    <n v="625"/>
    <n v="0.05"/>
    <n v="2968"/>
    <x v="3"/>
    <x v="0"/>
    <n v="385"/>
  </r>
  <r>
    <s v="ORD0373"/>
    <x v="4"/>
    <d v="2026-09-23T00:00:00"/>
    <s v="Vikram 18"/>
    <x v="2"/>
    <x v="3"/>
    <x v="0"/>
    <n v="4"/>
    <n v="774"/>
    <n v="0"/>
    <n v="3096"/>
    <x v="1"/>
    <x v="0"/>
    <n v="928"/>
  </r>
  <r>
    <s v="ORD0374"/>
    <x v="10"/>
    <d v="2026-01-08T00:00:00"/>
    <s v="Sneha 89"/>
    <x v="4"/>
    <x v="0"/>
    <x v="0"/>
    <n v="2"/>
    <n v="577"/>
    <n v="0.03"/>
    <n v="1119"/>
    <x v="2"/>
    <x v="2"/>
    <n v="313"/>
  </r>
  <r>
    <s v="ORD0375"/>
    <x v="1"/>
    <d v="2026-05-16T00:00:00"/>
    <s v="Karan 28"/>
    <x v="1"/>
    <x v="1"/>
    <x v="0"/>
    <n v="2"/>
    <n v="405"/>
    <n v="0.19"/>
    <n v="656"/>
    <x v="0"/>
    <x v="2"/>
    <n v="170"/>
  </r>
  <r>
    <s v="ORD0376"/>
    <x v="1"/>
    <d v="2026-05-01T00:00:00"/>
    <s v="Ananya 9"/>
    <x v="3"/>
    <x v="8"/>
    <x v="0"/>
    <n v="3"/>
    <n v="618"/>
    <n v="0.14000000000000001"/>
    <n v="1594"/>
    <x v="0"/>
    <x v="1"/>
    <n v="334"/>
  </r>
  <r>
    <s v="ORD0377"/>
    <x v="9"/>
    <d v="2026-03-16T00:00:00"/>
    <s v="Riya 2"/>
    <x v="4"/>
    <x v="9"/>
    <x v="0"/>
    <n v="1"/>
    <n v="620"/>
    <n v="0.2"/>
    <n v="496"/>
    <x v="0"/>
    <x v="0"/>
    <n v="79"/>
  </r>
  <r>
    <s v="ORD0378"/>
    <x v="6"/>
    <d v="2026-08-06T00:00:00"/>
    <s v="Riya 46"/>
    <x v="1"/>
    <x v="8"/>
    <x v="0"/>
    <n v="4"/>
    <n v="520"/>
    <n v="0.02"/>
    <n v="2038"/>
    <x v="3"/>
    <x v="0"/>
    <n v="509"/>
  </r>
  <r>
    <s v="ORD0379"/>
    <x v="10"/>
    <d v="2026-01-06T00:00:00"/>
    <s v="Ananya 96"/>
    <x v="3"/>
    <x v="6"/>
    <x v="0"/>
    <n v="3"/>
    <n v="751"/>
    <n v="0.06"/>
    <n v="2117"/>
    <x v="0"/>
    <x v="1"/>
    <n v="423"/>
  </r>
  <r>
    <s v="ORD0380"/>
    <x v="3"/>
    <d v="2026-11-28T00:00:00"/>
    <s v="Rahul 90"/>
    <x v="3"/>
    <x v="3"/>
    <x v="0"/>
    <n v="4"/>
    <n v="630"/>
    <n v="0.03"/>
    <n v="2444"/>
    <x v="3"/>
    <x v="0"/>
    <n v="317"/>
  </r>
  <r>
    <s v="ORD0381"/>
    <x v="6"/>
    <d v="2026-08-22T00:00:00"/>
    <s v="Rahul 57"/>
    <x v="3"/>
    <x v="4"/>
    <x v="0"/>
    <n v="2"/>
    <n v="375"/>
    <n v="0.09"/>
    <n v="682"/>
    <x v="2"/>
    <x v="1"/>
    <n v="129"/>
  </r>
  <r>
    <s v="ORD0382"/>
    <x v="1"/>
    <d v="2026-05-06T00:00:00"/>
    <s v="Rahul 79"/>
    <x v="0"/>
    <x v="10"/>
    <x v="0"/>
    <n v="5"/>
    <n v="611"/>
    <n v="0.11"/>
    <n v="2718"/>
    <x v="1"/>
    <x v="0"/>
    <n v="570"/>
  </r>
  <r>
    <s v="ORD0383"/>
    <x v="10"/>
    <d v="2026-01-23T00:00:00"/>
    <s v="Aarav 4"/>
    <x v="2"/>
    <x v="10"/>
    <x v="0"/>
    <n v="4"/>
    <n v="160"/>
    <n v="0.18"/>
    <n v="524"/>
    <x v="3"/>
    <x v="0"/>
    <n v="125"/>
  </r>
  <r>
    <s v="ORD0384"/>
    <x v="5"/>
    <d v="2026-07-25T00:00:00"/>
    <s v="Ananya 7"/>
    <x v="0"/>
    <x v="7"/>
    <x v="0"/>
    <n v="3"/>
    <n v="125"/>
    <n v="0.09"/>
    <n v="341"/>
    <x v="2"/>
    <x v="2"/>
    <n v="71"/>
  </r>
  <r>
    <s v="ORD0385"/>
    <x v="8"/>
    <d v="2026-06-08T00:00:00"/>
    <s v="Sneha 68"/>
    <x v="3"/>
    <x v="8"/>
    <x v="0"/>
    <n v="3"/>
    <n v="691"/>
    <n v="0.19"/>
    <n v="1679"/>
    <x v="0"/>
    <x v="0"/>
    <n v="319"/>
  </r>
  <r>
    <s v="ORD0386"/>
    <x v="8"/>
    <d v="2026-06-13T00:00:00"/>
    <s v="Aarav 7"/>
    <x v="4"/>
    <x v="0"/>
    <x v="0"/>
    <n v="1"/>
    <n v="458"/>
    <n v="0.13"/>
    <n v="398"/>
    <x v="3"/>
    <x v="1"/>
    <n v="115"/>
  </r>
  <r>
    <s v="ORD0387"/>
    <x v="1"/>
    <d v="2026-05-21T00:00:00"/>
    <s v="Vikram 67"/>
    <x v="3"/>
    <x v="0"/>
    <x v="0"/>
    <n v="5"/>
    <n v="292"/>
    <n v="0.15"/>
    <n v="1241"/>
    <x v="3"/>
    <x v="0"/>
    <n v="285"/>
  </r>
  <r>
    <s v="ORD0388"/>
    <x v="4"/>
    <d v="2026-09-20T00:00:00"/>
    <s v="Riya 19"/>
    <x v="0"/>
    <x v="4"/>
    <x v="0"/>
    <n v="4"/>
    <n v="482"/>
    <n v="7.0000000000000007E-2"/>
    <n v="1793"/>
    <x v="3"/>
    <x v="0"/>
    <n v="286"/>
  </r>
  <r>
    <s v="ORD0389"/>
    <x v="0"/>
    <d v="2026-12-25T00:00:00"/>
    <s v="Ananya 82"/>
    <x v="4"/>
    <x v="0"/>
    <x v="0"/>
    <n v="2"/>
    <n v="355"/>
    <n v="0.08"/>
    <n v="653"/>
    <x v="1"/>
    <x v="2"/>
    <n v="71"/>
  </r>
  <r>
    <s v="ORD0390"/>
    <x v="7"/>
    <d v="2026-04-16T00:00:00"/>
    <s v="Aarav 15"/>
    <x v="4"/>
    <x v="0"/>
    <x v="0"/>
    <n v="4"/>
    <n v="232"/>
    <n v="0.02"/>
    <n v="909"/>
    <x v="1"/>
    <x v="0"/>
    <n v="109"/>
  </r>
  <r>
    <s v="ORD0391"/>
    <x v="4"/>
    <d v="2026-09-09T00:00:00"/>
    <s v="Karan 45"/>
    <x v="2"/>
    <x v="2"/>
    <x v="0"/>
    <n v="1"/>
    <n v="630"/>
    <n v="0.1"/>
    <n v="567"/>
    <x v="1"/>
    <x v="0"/>
    <n v="113"/>
  </r>
  <r>
    <s v="ORD0392"/>
    <x v="3"/>
    <d v="2026-11-23T00:00:00"/>
    <s v="Rahul 54"/>
    <x v="1"/>
    <x v="7"/>
    <x v="0"/>
    <n v="3"/>
    <n v="142"/>
    <n v="0.18"/>
    <n v="349"/>
    <x v="3"/>
    <x v="1"/>
    <n v="66"/>
  </r>
  <r>
    <s v="ORD0393"/>
    <x v="10"/>
    <d v="2026-01-04T00:00:00"/>
    <s v="Vikram 75"/>
    <x v="2"/>
    <x v="5"/>
    <x v="0"/>
    <n v="5"/>
    <n v="348"/>
    <n v="0.18"/>
    <n v="1426"/>
    <x v="2"/>
    <x v="1"/>
    <n v="385"/>
  </r>
  <r>
    <s v="ORD0394"/>
    <x v="6"/>
    <d v="2026-08-17T00:00:00"/>
    <s v="Riya 22"/>
    <x v="1"/>
    <x v="5"/>
    <x v="0"/>
    <n v="2"/>
    <n v="677"/>
    <n v="7.0000000000000007E-2"/>
    <n v="1259"/>
    <x v="0"/>
    <x v="1"/>
    <n v="415"/>
  </r>
  <r>
    <s v="ORD0395"/>
    <x v="3"/>
    <d v="2026-11-14T00:00:00"/>
    <s v="Aarav 48"/>
    <x v="4"/>
    <x v="8"/>
    <x v="0"/>
    <n v="1"/>
    <n v="92"/>
    <n v="0.04"/>
    <n v="88"/>
    <x v="3"/>
    <x v="2"/>
    <n v="14"/>
  </r>
  <r>
    <s v="ORD0396"/>
    <x v="5"/>
    <d v="2026-07-15T00:00:00"/>
    <s v="Karan 22"/>
    <x v="3"/>
    <x v="0"/>
    <x v="0"/>
    <n v="1"/>
    <n v="206"/>
    <n v="0.03"/>
    <n v="199"/>
    <x v="0"/>
    <x v="1"/>
    <n v="23"/>
  </r>
  <r>
    <s v="ORD0397"/>
    <x v="7"/>
    <d v="2026-04-06T00:00:00"/>
    <s v="Vikram 30"/>
    <x v="3"/>
    <x v="6"/>
    <x v="0"/>
    <n v="2"/>
    <n v="509"/>
    <n v="0.04"/>
    <n v="977"/>
    <x v="0"/>
    <x v="1"/>
    <n v="312"/>
  </r>
  <r>
    <s v="ORD0398"/>
    <x v="5"/>
    <d v="2026-07-17T00:00:00"/>
    <s v="Karan 30"/>
    <x v="2"/>
    <x v="1"/>
    <x v="0"/>
    <n v="5"/>
    <n v="528"/>
    <n v="0"/>
    <n v="2640"/>
    <x v="2"/>
    <x v="2"/>
    <n v="660"/>
  </r>
  <r>
    <s v="ORD0399"/>
    <x v="10"/>
    <d v="2026-01-17T00:00:00"/>
    <s v="Vikram 51"/>
    <x v="0"/>
    <x v="4"/>
    <x v="0"/>
    <n v="5"/>
    <n v="362"/>
    <n v="0.18"/>
    <n v="1484"/>
    <x v="0"/>
    <x v="0"/>
    <n v="163"/>
  </r>
  <r>
    <s v="ORD0400"/>
    <x v="11"/>
    <d v="2026-10-11T00:00:00"/>
    <s v="Ananya 36"/>
    <x v="3"/>
    <x v="9"/>
    <x v="0"/>
    <n v="3"/>
    <n v="212"/>
    <n v="0.02"/>
    <n v="623"/>
    <x v="1"/>
    <x v="2"/>
    <n v="218"/>
  </r>
  <r>
    <s v="ORD0401"/>
    <x v="4"/>
    <d v="2026-09-24T00:00:00"/>
    <s v="Ananya 74"/>
    <x v="0"/>
    <x v="7"/>
    <x v="0"/>
    <n v="1"/>
    <n v="348"/>
    <n v="0.14000000000000001"/>
    <n v="299"/>
    <x v="2"/>
    <x v="1"/>
    <n v="56"/>
  </r>
  <r>
    <s v="ORD0402"/>
    <x v="1"/>
    <d v="2026-05-07T00:00:00"/>
    <s v="Sneha 93"/>
    <x v="4"/>
    <x v="9"/>
    <x v="0"/>
    <n v="5"/>
    <n v="361"/>
    <n v="0.09"/>
    <n v="1642"/>
    <x v="0"/>
    <x v="2"/>
    <n v="361"/>
  </r>
  <r>
    <s v="ORD0403"/>
    <x v="5"/>
    <d v="2026-07-11T00:00:00"/>
    <s v="Riya 75"/>
    <x v="4"/>
    <x v="4"/>
    <x v="0"/>
    <n v="3"/>
    <n v="641"/>
    <n v="0.1"/>
    <n v="1730"/>
    <x v="3"/>
    <x v="0"/>
    <n v="328"/>
  </r>
  <r>
    <s v="ORD0404"/>
    <x v="1"/>
    <d v="2026-05-25T00:00:00"/>
    <s v="Sneha 30"/>
    <x v="2"/>
    <x v="9"/>
    <x v="0"/>
    <n v="3"/>
    <n v="591"/>
    <n v="0.02"/>
    <n v="1737"/>
    <x v="2"/>
    <x v="2"/>
    <n v="555"/>
  </r>
  <r>
    <s v="ORD0405"/>
    <x v="9"/>
    <d v="2026-03-01T00:00:00"/>
    <s v="Ananya 72"/>
    <x v="1"/>
    <x v="5"/>
    <x v="0"/>
    <n v="1"/>
    <n v="745"/>
    <n v="7.0000000000000007E-2"/>
    <n v="692"/>
    <x v="2"/>
    <x v="0"/>
    <n v="242"/>
  </r>
  <r>
    <s v="ORD0406"/>
    <x v="0"/>
    <d v="2026-12-23T00:00:00"/>
    <s v="Aarav 88"/>
    <x v="1"/>
    <x v="10"/>
    <x v="0"/>
    <n v="4"/>
    <n v="781"/>
    <n v="0.15"/>
    <n v="2655"/>
    <x v="2"/>
    <x v="2"/>
    <n v="584"/>
  </r>
  <r>
    <s v="ORD0407"/>
    <x v="9"/>
    <d v="2026-03-22T00:00:00"/>
    <s v="Rahul 28"/>
    <x v="3"/>
    <x v="5"/>
    <x v="0"/>
    <n v="4"/>
    <n v="139"/>
    <n v="0.16"/>
    <n v="467"/>
    <x v="1"/>
    <x v="0"/>
    <n v="149"/>
  </r>
  <r>
    <s v="ORD0408"/>
    <x v="4"/>
    <d v="2026-09-26T00:00:00"/>
    <s v="Rahul 23"/>
    <x v="2"/>
    <x v="10"/>
    <x v="0"/>
    <n v="3"/>
    <n v="129"/>
    <n v="0.12"/>
    <n v="340"/>
    <x v="0"/>
    <x v="2"/>
    <n v="44"/>
  </r>
  <r>
    <s v="ORD0409"/>
    <x v="6"/>
    <d v="2026-08-27T00:00:00"/>
    <s v="Rahul 76"/>
    <x v="4"/>
    <x v="5"/>
    <x v="0"/>
    <n v="2"/>
    <n v="549"/>
    <n v="0.01"/>
    <n v="1087"/>
    <x v="2"/>
    <x v="0"/>
    <n v="369"/>
  </r>
  <r>
    <s v="ORD0410"/>
    <x v="3"/>
    <d v="2026-11-18T00:00:00"/>
    <s v="Priya 84"/>
    <x v="4"/>
    <x v="7"/>
    <x v="0"/>
    <n v="3"/>
    <n v="367"/>
    <n v="0.13"/>
    <n v="957"/>
    <x v="2"/>
    <x v="2"/>
    <n v="181"/>
  </r>
  <r>
    <s v="ORD0411"/>
    <x v="4"/>
    <d v="2026-09-03T00:00:00"/>
    <s v="Karan 97"/>
    <x v="0"/>
    <x v="8"/>
    <x v="0"/>
    <n v="1"/>
    <n v="220"/>
    <n v="0.03"/>
    <n v="213"/>
    <x v="3"/>
    <x v="2"/>
    <n v="27"/>
  </r>
  <r>
    <s v="ORD0412"/>
    <x v="7"/>
    <d v="2026-04-10T00:00:00"/>
    <s v="Sneha 3"/>
    <x v="4"/>
    <x v="4"/>
    <x v="0"/>
    <n v="3"/>
    <n v="636"/>
    <n v="0.2"/>
    <n v="1526"/>
    <x v="2"/>
    <x v="1"/>
    <n v="396"/>
  </r>
  <r>
    <s v="ORD0413"/>
    <x v="10"/>
    <d v="2026-01-09T00:00:00"/>
    <s v="Aarav 31"/>
    <x v="1"/>
    <x v="2"/>
    <x v="0"/>
    <n v="3"/>
    <n v="344"/>
    <n v="0.06"/>
    <n v="970"/>
    <x v="0"/>
    <x v="0"/>
    <n v="223"/>
  </r>
  <r>
    <s v="ORD0414"/>
    <x v="9"/>
    <d v="2026-03-10T00:00:00"/>
    <s v="Rahul 71"/>
    <x v="1"/>
    <x v="6"/>
    <x v="0"/>
    <n v="3"/>
    <n v="718"/>
    <n v="0.01"/>
    <n v="2132"/>
    <x v="2"/>
    <x v="1"/>
    <n v="746"/>
  </r>
  <r>
    <s v="ORD0415"/>
    <x v="8"/>
    <d v="2026-06-17T00:00:00"/>
    <s v="Riya 60"/>
    <x v="1"/>
    <x v="4"/>
    <x v="0"/>
    <n v="2"/>
    <n v="315"/>
    <n v="0.02"/>
    <n v="617"/>
    <x v="0"/>
    <x v="1"/>
    <n v="154"/>
  </r>
  <r>
    <s v="ORD0416"/>
    <x v="8"/>
    <d v="2026-06-04T00:00:00"/>
    <s v="Priya 7"/>
    <x v="0"/>
    <x v="3"/>
    <x v="0"/>
    <n v="4"/>
    <n v="349"/>
    <n v="0.16"/>
    <n v="1172"/>
    <x v="2"/>
    <x v="1"/>
    <n v="222"/>
  </r>
  <r>
    <s v="ORD0417"/>
    <x v="5"/>
    <d v="2026-07-10T00:00:00"/>
    <s v="Ananya 96"/>
    <x v="1"/>
    <x v="6"/>
    <x v="0"/>
    <n v="2"/>
    <n v="363"/>
    <n v="0.15"/>
    <n v="617"/>
    <x v="2"/>
    <x v="1"/>
    <n v="191"/>
  </r>
  <r>
    <s v="ORD0418"/>
    <x v="3"/>
    <d v="2026-11-02T00:00:00"/>
    <s v="Aarav 49"/>
    <x v="3"/>
    <x v="8"/>
    <x v="0"/>
    <n v="5"/>
    <n v="320"/>
    <n v="0.15"/>
    <n v="1360"/>
    <x v="2"/>
    <x v="0"/>
    <n v="190"/>
  </r>
  <r>
    <s v="ORD0419"/>
    <x v="8"/>
    <d v="2026-06-05T00:00:00"/>
    <s v="Rahul 99"/>
    <x v="1"/>
    <x v="2"/>
    <x v="0"/>
    <n v="4"/>
    <n v="776"/>
    <n v="0.2"/>
    <n v="2483"/>
    <x v="0"/>
    <x v="2"/>
    <n v="397"/>
  </r>
  <r>
    <s v="ORD0420"/>
    <x v="1"/>
    <d v="2026-05-02T00:00:00"/>
    <s v="Vikram 10"/>
    <x v="1"/>
    <x v="6"/>
    <x v="0"/>
    <n v="1"/>
    <n v="584"/>
    <n v="0.03"/>
    <n v="566"/>
    <x v="0"/>
    <x v="0"/>
    <n v="198"/>
  </r>
  <r>
    <s v="ORD0421"/>
    <x v="9"/>
    <d v="2026-03-03T00:00:00"/>
    <s v="Aarav 56"/>
    <x v="1"/>
    <x v="10"/>
    <x v="0"/>
    <n v="4"/>
    <n v="229"/>
    <n v="0.04"/>
    <n v="879"/>
    <x v="3"/>
    <x v="2"/>
    <n v="184"/>
  </r>
  <r>
    <s v="ORD0422"/>
    <x v="5"/>
    <d v="2026-07-22T00:00:00"/>
    <s v="Aarav 18"/>
    <x v="2"/>
    <x v="8"/>
    <x v="0"/>
    <n v="2"/>
    <n v="746"/>
    <n v="0.06"/>
    <n v="1402"/>
    <x v="0"/>
    <x v="2"/>
    <n v="140"/>
  </r>
  <r>
    <s v="ORD0423"/>
    <x v="9"/>
    <d v="2026-03-17T00:00:00"/>
    <s v="Ananya 24"/>
    <x v="0"/>
    <x v="6"/>
    <x v="0"/>
    <n v="2"/>
    <n v="118"/>
    <n v="0.13"/>
    <n v="205"/>
    <x v="1"/>
    <x v="2"/>
    <n v="24"/>
  </r>
  <r>
    <s v="ORD0424"/>
    <x v="9"/>
    <d v="2026-03-28T00:00:00"/>
    <s v="Rahul 65"/>
    <x v="3"/>
    <x v="3"/>
    <x v="0"/>
    <n v="2"/>
    <n v="530"/>
    <n v="0.1"/>
    <n v="954"/>
    <x v="0"/>
    <x v="1"/>
    <n v="314"/>
  </r>
  <r>
    <s v="ORD0425"/>
    <x v="3"/>
    <d v="2026-11-01T00:00:00"/>
    <s v="Vikram 95"/>
    <x v="1"/>
    <x v="3"/>
    <x v="0"/>
    <n v="4"/>
    <n v="310"/>
    <n v="0.1"/>
    <n v="1116"/>
    <x v="0"/>
    <x v="1"/>
    <n v="345"/>
  </r>
  <r>
    <s v="ORD0426"/>
    <x v="8"/>
    <d v="2026-06-28T00:00:00"/>
    <s v="Sneha 8"/>
    <x v="1"/>
    <x v="9"/>
    <x v="0"/>
    <n v="1"/>
    <n v="503"/>
    <n v="0.01"/>
    <n v="497"/>
    <x v="0"/>
    <x v="0"/>
    <n v="89"/>
  </r>
  <r>
    <s v="ORD0427"/>
    <x v="8"/>
    <d v="2026-06-23T00:00:00"/>
    <s v="Vikram 84"/>
    <x v="3"/>
    <x v="1"/>
    <x v="0"/>
    <n v="1"/>
    <n v="350"/>
    <n v="0.13"/>
    <n v="304"/>
    <x v="2"/>
    <x v="0"/>
    <n v="76"/>
  </r>
  <r>
    <s v="ORD0428"/>
    <x v="4"/>
    <d v="2026-09-12T00:00:00"/>
    <s v="Riya 76"/>
    <x v="2"/>
    <x v="1"/>
    <x v="0"/>
    <n v="1"/>
    <n v="385"/>
    <n v="0.13"/>
    <n v="334"/>
    <x v="0"/>
    <x v="0"/>
    <n v="86"/>
  </r>
  <r>
    <s v="ORD0429"/>
    <x v="9"/>
    <d v="2026-03-21T00:00:00"/>
    <s v="Riya 34"/>
    <x v="3"/>
    <x v="10"/>
    <x v="0"/>
    <n v="3"/>
    <n v="699"/>
    <n v="0.13"/>
    <n v="1824"/>
    <x v="3"/>
    <x v="0"/>
    <n v="547"/>
  </r>
  <r>
    <s v="ORD0430"/>
    <x v="6"/>
    <d v="2026-08-21T00:00:00"/>
    <s v="Priya 13"/>
    <x v="3"/>
    <x v="9"/>
    <x v="0"/>
    <n v="4"/>
    <n v="684"/>
    <n v="0.08"/>
    <n v="2517"/>
    <x v="1"/>
    <x v="1"/>
    <n v="755"/>
  </r>
  <r>
    <s v="ORD0431"/>
    <x v="8"/>
    <d v="2026-06-27T00:00:00"/>
    <s v="Priya 41"/>
    <x v="4"/>
    <x v="2"/>
    <x v="0"/>
    <n v="3"/>
    <n v="165"/>
    <n v="0.03"/>
    <n v="480"/>
    <x v="2"/>
    <x v="1"/>
    <n v="76"/>
  </r>
  <r>
    <s v="ORD0432"/>
    <x v="10"/>
    <d v="2026-01-20T00:00:00"/>
    <s v="Vikram 14"/>
    <x v="2"/>
    <x v="6"/>
    <x v="0"/>
    <n v="4"/>
    <n v="156"/>
    <n v="0.09"/>
    <n v="567"/>
    <x v="2"/>
    <x v="0"/>
    <n v="56"/>
  </r>
  <r>
    <s v="ORD0433"/>
    <x v="8"/>
    <d v="2026-06-10T00:00:00"/>
    <s v="Aarav 28"/>
    <x v="1"/>
    <x v="6"/>
    <x v="0"/>
    <n v="5"/>
    <n v="642"/>
    <n v="0"/>
    <n v="3210"/>
    <x v="1"/>
    <x v="2"/>
    <n v="674"/>
  </r>
  <r>
    <s v="ORD0434"/>
    <x v="9"/>
    <d v="2026-03-15T00:00:00"/>
    <s v="Riya 15"/>
    <x v="0"/>
    <x v="8"/>
    <x v="0"/>
    <n v="5"/>
    <n v="527"/>
    <n v="0.08"/>
    <n v="2424"/>
    <x v="0"/>
    <x v="1"/>
    <n v="751"/>
  </r>
  <r>
    <s v="ORD0435"/>
    <x v="6"/>
    <d v="2026-08-07T00:00:00"/>
    <s v="Sneha 89"/>
    <x v="4"/>
    <x v="3"/>
    <x v="0"/>
    <n v="1"/>
    <n v="419"/>
    <n v="0.16"/>
    <n v="351"/>
    <x v="0"/>
    <x v="2"/>
    <n v="91"/>
  </r>
  <r>
    <s v="ORD0436"/>
    <x v="1"/>
    <d v="2026-05-27T00:00:00"/>
    <s v="Vikram 48"/>
    <x v="0"/>
    <x v="5"/>
    <x v="0"/>
    <n v="1"/>
    <n v="540"/>
    <n v="0.18"/>
    <n v="442"/>
    <x v="1"/>
    <x v="0"/>
    <n v="114"/>
  </r>
  <r>
    <s v="ORD0437"/>
    <x v="0"/>
    <d v="2026-12-22T00:00:00"/>
    <s v="Priya 65"/>
    <x v="3"/>
    <x v="7"/>
    <x v="0"/>
    <n v="5"/>
    <n v="377"/>
    <n v="0.15"/>
    <n v="1602"/>
    <x v="3"/>
    <x v="2"/>
    <n v="288"/>
  </r>
  <r>
    <s v="ORD0438"/>
    <x v="7"/>
    <d v="2026-04-24T00:00:00"/>
    <s v="Aarav 41"/>
    <x v="3"/>
    <x v="2"/>
    <x v="0"/>
    <n v="5"/>
    <n v="623"/>
    <n v="0.16"/>
    <n v="2616"/>
    <x v="2"/>
    <x v="1"/>
    <n v="680"/>
  </r>
  <r>
    <s v="ORD0439"/>
    <x v="1"/>
    <d v="2026-05-24T00:00:00"/>
    <s v="Riya 39"/>
    <x v="0"/>
    <x v="0"/>
    <x v="0"/>
    <n v="2"/>
    <n v="322"/>
    <n v="0.01"/>
    <n v="637"/>
    <x v="3"/>
    <x v="0"/>
    <n v="95"/>
  </r>
  <r>
    <s v="ORD0440"/>
    <x v="7"/>
    <d v="2026-04-11T00:00:00"/>
    <s v="Riya 88"/>
    <x v="1"/>
    <x v="5"/>
    <x v="0"/>
    <n v="1"/>
    <n v="180"/>
    <n v="0.14000000000000001"/>
    <n v="154"/>
    <x v="3"/>
    <x v="0"/>
    <n v="40"/>
  </r>
  <r>
    <s v="ORD0441"/>
    <x v="3"/>
    <d v="2026-11-06T00:00:00"/>
    <s v="Rahul 86"/>
    <x v="0"/>
    <x v="7"/>
    <x v="0"/>
    <n v="2"/>
    <n v="217"/>
    <n v="0.1"/>
    <n v="390"/>
    <x v="3"/>
    <x v="1"/>
    <n v="89"/>
  </r>
  <r>
    <s v="ORD0442"/>
    <x v="11"/>
    <d v="2026-10-25T00:00:00"/>
    <s v="Riya 87"/>
    <x v="3"/>
    <x v="4"/>
    <x v="0"/>
    <n v="1"/>
    <n v="446"/>
    <n v="0.14000000000000001"/>
    <n v="383"/>
    <x v="1"/>
    <x v="0"/>
    <n v="114"/>
  </r>
  <r>
    <s v="ORD0443"/>
    <x v="3"/>
    <d v="2026-11-24T00:00:00"/>
    <s v="Karan 71"/>
    <x v="0"/>
    <x v="5"/>
    <x v="0"/>
    <n v="1"/>
    <n v="208"/>
    <n v="0.14000000000000001"/>
    <n v="178"/>
    <x v="2"/>
    <x v="0"/>
    <n v="46"/>
  </r>
  <r>
    <s v="ORD0444"/>
    <x v="9"/>
    <d v="2026-03-02T00:00:00"/>
    <s v="Riya 2"/>
    <x v="4"/>
    <x v="10"/>
    <x v="0"/>
    <n v="3"/>
    <n v="387"/>
    <n v="0.2"/>
    <n v="928"/>
    <x v="2"/>
    <x v="1"/>
    <n v="120"/>
  </r>
  <r>
    <s v="ORD0445"/>
    <x v="5"/>
    <d v="2026-07-17T00:00:00"/>
    <s v="Karan 67"/>
    <x v="3"/>
    <x v="4"/>
    <x v="0"/>
    <n v="2"/>
    <n v="150"/>
    <n v="0.06"/>
    <n v="282"/>
    <x v="2"/>
    <x v="2"/>
    <n v="87"/>
  </r>
  <r>
    <s v="ORD0446"/>
    <x v="5"/>
    <d v="2026-07-26T00:00:00"/>
    <s v="Sneha 99"/>
    <x v="3"/>
    <x v="3"/>
    <x v="0"/>
    <n v="2"/>
    <n v="202"/>
    <n v="0"/>
    <n v="404"/>
    <x v="0"/>
    <x v="2"/>
    <n v="68"/>
  </r>
  <r>
    <s v="ORD0447"/>
    <x v="0"/>
    <d v="2026-12-16T00:00:00"/>
    <s v="Vikram 43"/>
    <x v="3"/>
    <x v="4"/>
    <x v="0"/>
    <n v="2"/>
    <n v="217"/>
    <n v="0.08"/>
    <n v="399"/>
    <x v="3"/>
    <x v="2"/>
    <n v="111"/>
  </r>
  <r>
    <s v="ORD0448"/>
    <x v="8"/>
    <d v="2026-06-06T00:00:00"/>
    <s v="Karan 52"/>
    <x v="0"/>
    <x v="3"/>
    <x v="0"/>
    <n v="1"/>
    <n v="276"/>
    <n v="0.01"/>
    <n v="273"/>
    <x v="3"/>
    <x v="0"/>
    <n v="90"/>
  </r>
  <r>
    <s v="ORD0449"/>
    <x v="11"/>
    <d v="2026-10-21T00:00:00"/>
    <s v="Vikram 7"/>
    <x v="2"/>
    <x v="6"/>
    <x v="0"/>
    <n v="4"/>
    <n v="90"/>
    <n v="0"/>
    <n v="360"/>
    <x v="3"/>
    <x v="2"/>
    <n v="68"/>
  </r>
  <r>
    <s v="ORD0450"/>
    <x v="5"/>
    <d v="2026-07-18T00:00:00"/>
    <s v="Riya 9"/>
    <x v="2"/>
    <x v="5"/>
    <x v="0"/>
    <n v="4"/>
    <n v="301"/>
    <n v="0"/>
    <n v="1204"/>
    <x v="0"/>
    <x v="1"/>
    <n v="180"/>
  </r>
  <r>
    <s v="ORD0451"/>
    <x v="1"/>
    <d v="2026-05-27T00:00:00"/>
    <s v="Riya 4"/>
    <x v="4"/>
    <x v="0"/>
    <x v="0"/>
    <n v="5"/>
    <n v="106"/>
    <n v="0.17"/>
    <n v="439"/>
    <x v="3"/>
    <x v="2"/>
    <n v="153"/>
  </r>
  <r>
    <s v="ORD0452"/>
    <x v="1"/>
    <d v="2026-05-03T00:00:00"/>
    <s v="Ananya 50"/>
    <x v="1"/>
    <x v="10"/>
    <x v="0"/>
    <n v="2"/>
    <n v="326"/>
    <n v="0.16"/>
    <n v="547"/>
    <x v="1"/>
    <x v="1"/>
    <n v="158"/>
  </r>
  <r>
    <s v="ORD0453"/>
    <x v="3"/>
    <d v="2026-11-05T00:00:00"/>
    <s v="Priya 33"/>
    <x v="0"/>
    <x v="7"/>
    <x v="0"/>
    <n v="4"/>
    <n v="160"/>
    <n v="0.14000000000000001"/>
    <n v="550"/>
    <x v="2"/>
    <x v="1"/>
    <n v="137"/>
  </r>
  <r>
    <s v="ORD0454"/>
    <x v="4"/>
    <d v="2026-09-11T00:00:00"/>
    <s v="Priya 30"/>
    <x v="0"/>
    <x v="6"/>
    <x v="0"/>
    <n v="4"/>
    <n v="731"/>
    <n v="0.11"/>
    <n v="2602"/>
    <x v="0"/>
    <x v="1"/>
    <n v="416"/>
  </r>
  <r>
    <s v="ORD0455"/>
    <x v="8"/>
    <d v="2026-06-13T00:00:00"/>
    <s v="Ananya 85"/>
    <x v="4"/>
    <x v="2"/>
    <x v="0"/>
    <n v="2"/>
    <n v="570"/>
    <n v="0.03"/>
    <n v="1105"/>
    <x v="3"/>
    <x v="0"/>
    <n v="132"/>
  </r>
  <r>
    <s v="ORD0456"/>
    <x v="2"/>
    <d v="2026-02-28T00:00:00"/>
    <s v="Riya 74"/>
    <x v="2"/>
    <x v="3"/>
    <x v="0"/>
    <n v="2"/>
    <n v="239"/>
    <n v="0.16"/>
    <n v="401"/>
    <x v="1"/>
    <x v="0"/>
    <n v="68"/>
  </r>
  <r>
    <s v="ORD0457"/>
    <x v="3"/>
    <d v="2026-11-25T00:00:00"/>
    <s v="Sneha 49"/>
    <x v="3"/>
    <x v="9"/>
    <x v="0"/>
    <n v="5"/>
    <n v="272"/>
    <n v="0.17"/>
    <n v="1128"/>
    <x v="3"/>
    <x v="2"/>
    <n v="282"/>
  </r>
  <r>
    <s v="ORD0458"/>
    <x v="4"/>
    <d v="2026-09-14T00:00:00"/>
    <s v="Sneha 20"/>
    <x v="1"/>
    <x v="4"/>
    <x v="0"/>
    <n v="3"/>
    <n v="367"/>
    <n v="0.2"/>
    <n v="880"/>
    <x v="1"/>
    <x v="1"/>
    <n v="114"/>
  </r>
  <r>
    <s v="ORD0459"/>
    <x v="7"/>
    <d v="2026-04-15T00:00:00"/>
    <s v="Priya 4"/>
    <x v="3"/>
    <x v="7"/>
    <x v="0"/>
    <n v="4"/>
    <n v="504"/>
    <n v="0.12"/>
    <n v="1774"/>
    <x v="2"/>
    <x v="1"/>
    <n v="585"/>
  </r>
  <r>
    <s v="ORD0460"/>
    <x v="0"/>
    <d v="2026-12-06T00:00:00"/>
    <s v="Sneha 14"/>
    <x v="4"/>
    <x v="7"/>
    <x v="0"/>
    <n v="3"/>
    <n v="497"/>
    <n v="0.11"/>
    <n v="1326"/>
    <x v="1"/>
    <x v="1"/>
    <n v="225"/>
  </r>
  <r>
    <s v="ORD0461"/>
    <x v="11"/>
    <d v="2026-10-24T00:00:00"/>
    <s v="Vikram 68"/>
    <x v="3"/>
    <x v="8"/>
    <x v="0"/>
    <n v="1"/>
    <n v="416"/>
    <n v="0"/>
    <n v="416"/>
    <x v="3"/>
    <x v="0"/>
    <n v="108"/>
  </r>
  <r>
    <s v="ORD0462"/>
    <x v="10"/>
    <d v="2026-01-08T00:00:00"/>
    <s v="Priya 89"/>
    <x v="4"/>
    <x v="0"/>
    <x v="0"/>
    <n v="1"/>
    <n v="392"/>
    <n v="0.19"/>
    <n v="317"/>
    <x v="1"/>
    <x v="0"/>
    <n v="85"/>
  </r>
  <r>
    <s v="ORD0463"/>
    <x v="1"/>
    <d v="2026-05-11T00:00:00"/>
    <s v="Sneha 71"/>
    <x v="2"/>
    <x v="3"/>
    <x v="0"/>
    <n v="2"/>
    <n v="415"/>
    <n v="0"/>
    <n v="830"/>
    <x v="2"/>
    <x v="0"/>
    <n v="99"/>
  </r>
  <r>
    <s v="ORD0464"/>
    <x v="4"/>
    <d v="2026-09-02T00:00:00"/>
    <s v="Karan 3"/>
    <x v="1"/>
    <x v="4"/>
    <x v="0"/>
    <n v="4"/>
    <n v="777"/>
    <n v="0.2"/>
    <n v="2486"/>
    <x v="1"/>
    <x v="2"/>
    <n v="546"/>
  </r>
  <r>
    <s v="ORD0465"/>
    <x v="9"/>
    <d v="2026-03-10T00:00:00"/>
    <s v="Ananya 82"/>
    <x v="3"/>
    <x v="1"/>
    <x v="0"/>
    <n v="2"/>
    <n v="474"/>
    <n v="0.15"/>
    <n v="805"/>
    <x v="3"/>
    <x v="1"/>
    <n v="193"/>
  </r>
  <r>
    <s v="ORD0466"/>
    <x v="10"/>
    <d v="2026-01-02T00:00:00"/>
    <s v="Ananya 64"/>
    <x v="3"/>
    <x v="4"/>
    <x v="0"/>
    <n v="4"/>
    <n v="270"/>
    <n v="0"/>
    <n v="1080"/>
    <x v="3"/>
    <x v="0"/>
    <n v="205"/>
  </r>
  <r>
    <s v="ORD0467"/>
    <x v="0"/>
    <d v="2026-12-13T00:00:00"/>
    <s v="Priya 65"/>
    <x v="4"/>
    <x v="9"/>
    <x v="0"/>
    <n v="5"/>
    <n v="448"/>
    <n v="0.1"/>
    <n v="2016"/>
    <x v="2"/>
    <x v="1"/>
    <n v="584"/>
  </r>
  <r>
    <s v="ORD0468"/>
    <x v="7"/>
    <d v="2026-04-07T00:00:00"/>
    <s v="Karan 10"/>
    <x v="2"/>
    <x v="5"/>
    <x v="0"/>
    <n v="1"/>
    <n v="384"/>
    <n v="0.06"/>
    <n v="360"/>
    <x v="1"/>
    <x v="1"/>
    <n v="72"/>
  </r>
  <r>
    <s v="ORD0469"/>
    <x v="7"/>
    <d v="2026-04-18T00:00:00"/>
    <s v="Ananya 73"/>
    <x v="3"/>
    <x v="2"/>
    <x v="0"/>
    <n v="4"/>
    <n v="779"/>
    <n v="7.0000000000000007E-2"/>
    <n v="2897"/>
    <x v="0"/>
    <x v="2"/>
    <n v="521"/>
  </r>
  <r>
    <s v="ORD0470"/>
    <x v="4"/>
    <d v="2026-09-21T00:00:00"/>
    <s v="Ananya 48"/>
    <x v="0"/>
    <x v="3"/>
    <x v="0"/>
    <n v="4"/>
    <n v="166"/>
    <n v="0.14000000000000001"/>
    <n v="571"/>
    <x v="0"/>
    <x v="2"/>
    <n v="62"/>
  </r>
  <r>
    <s v="ORD0471"/>
    <x v="3"/>
    <d v="2026-11-03T00:00:00"/>
    <s v="Karan 99"/>
    <x v="3"/>
    <x v="8"/>
    <x v="0"/>
    <n v="5"/>
    <n v="178"/>
    <n v="7.0000000000000007E-2"/>
    <n v="827"/>
    <x v="2"/>
    <x v="1"/>
    <n v="173"/>
  </r>
  <r>
    <s v="ORD0472"/>
    <x v="9"/>
    <d v="2026-03-21T00:00:00"/>
    <s v="Priya 93"/>
    <x v="3"/>
    <x v="3"/>
    <x v="0"/>
    <n v="4"/>
    <n v="561"/>
    <n v="0.2"/>
    <n v="1795"/>
    <x v="0"/>
    <x v="1"/>
    <n v="538"/>
  </r>
  <r>
    <s v="ORD0473"/>
    <x v="0"/>
    <d v="2026-12-03T00:00:00"/>
    <s v="Priya 45"/>
    <x v="3"/>
    <x v="1"/>
    <x v="0"/>
    <n v="4"/>
    <n v="504"/>
    <n v="0.06"/>
    <n v="1895"/>
    <x v="1"/>
    <x v="1"/>
    <n v="606"/>
  </r>
  <r>
    <s v="ORD0474"/>
    <x v="10"/>
    <d v="2026-01-16T00:00:00"/>
    <s v="Sneha 66"/>
    <x v="0"/>
    <x v="7"/>
    <x v="0"/>
    <n v="5"/>
    <n v="623"/>
    <n v="0.08"/>
    <n v="2865"/>
    <x v="0"/>
    <x v="0"/>
    <n v="372"/>
  </r>
  <r>
    <s v="ORD0475"/>
    <x v="3"/>
    <d v="2026-11-13T00:00:00"/>
    <s v="Sneha 26"/>
    <x v="4"/>
    <x v="9"/>
    <x v="0"/>
    <n v="5"/>
    <n v="528"/>
    <n v="0.02"/>
    <n v="2587"/>
    <x v="3"/>
    <x v="1"/>
    <n v="413"/>
  </r>
  <r>
    <s v="ORD0476"/>
    <x v="5"/>
    <d v="2026-07-22T00:00:00"/>
    <s v="Rahul 56"/>
    <x v="2"/>
    <x v="8"/>
    <x v="0"/>
    <n v="3"/>
    <n v="328"/>
    <n v="0.13"/>
    <n v="856"/>
    <x v="3"/>
    <x v="1"/>
    <n v="119"/>
  </r>
  <r>
    <s v="ORD0477"/>
    <x v="3"/>
    <d v="2026-11-15T00:00:00"/>
    <s v="Sneha 30"/>
    <x v="3"/>
    <x v="4"/>
    <x v="0"/>
    <n v="5"/>
    <n v="223"/>
    <n v="0.15"/>
    <n v="947"/>
    <x v="2"/>
    <x v="2"/>
    <n v="94"/>
  </r>
  <r>
    <s v="ORD0478"/>
    <x v="0"/>
    <d v="2026-12-12T00:00:00"/>
    <s v="Rahul 40"/>
    <x v="1"/>
    <x v="10"/>
    <x v="0"/>
    <n v="3"/>
    <n v="395"/>
    <n v="0"/>
    <n v="1185"/>
    <x v="3"/>
    <x v="1"/>
    <n v="355"/>
  </r>
  <r>
    <s v="ORD0479"/>
    <x v="2"/>
    <d v="2026-02-16T00:00:00"/>
    <s v="Ananya 96"/>
    <x v="0"/>
    <x v="4"/>
    <x v="0"/>
    <n v="2"/>
    <n v="295"/>
    <n v="0.06"/>
    <n v="554"/>
    <x v="3"/>
    <x v="0"/>
    <n v="155"/>
  </r>
  <r>
    <s v="ORD0480"/>
    <x v="2"/>
    <d v="2026-02-15T00:00:00"/>
    <s v="Aarav 6"/>
    <x v="1"/>
    <x v="10"/>
    <x v="0"/>
    <n v="5"/>
    <n v="683"/>
    <n v="7.0000000000000007E-2"/>
    <n v="3175"/>
    <x v="0"/>
    <x v="2"/>
    <n v="762"/>
  </r>
  <r>
    <s v="ORD0481"/>
    <x v="5"/>
    <d v="2026-07-06T00:00:00"/>
    <s v="Sneha 75"/>
    <x v="3"/>
    <x v="0"/>
    <x v="0"/>
    <n v="2"/>
    <n v="155"/>
    <n v="0.12"/>
    <n v="272"/>
    <x v="3"/>
    <x v="0"/>
    <n v="68"/>
  </r>
  <r>
    <s v="ORD0482"/>
    <x v="9"/>
    <d v="2026-03-19T00:00:00"/>
    <s v="Vikram 80"/>
    <x v="2"/>
    <x v="2"/>
    <x v="0"/>
    <n v="4"/>
    <n v="166"/>
    <n v="0.13"/>
    <n v="577"/>
    <x v="2"/>
    <x v="0"/>
    <n v="115"/>
  </r>
  <r>
    <s v="ORD0483"/>
    <x v="1"/>
    <d v="2026-05-12T00:00:00"/>
    <s v="Karan 64"/>
    <x v="1"/>
    <x v="5"/>
    <x v="0"/>
    <n v="4"/>
    <n v="177"/>
    <n v="0.1"/>
    <n v="637"/>
    <x v="3"/>
    <x v="2"/>
    <n v="108"/>
  </r>
  <r>
    <s v="ORD0484"/>
    <x v="6"/>
    <d v="2026-08-01T00:00:00"/>
    <s v="Vikram 84"/>
    <x v="2"/>
    <x v="5"/>
    <x v="0"/>
    <n v="3"/>
    <n v="246"/>
    <n v="0.03"/>
    <n v="715"/>
    <x v="0"/>
    <x v="0"/>
    <n v="178"/>
  </r>
  <r>
    <s v="ORD0485"/>
    <x v="1"/>
    <d v="2026-05-16T00:00:00"/>
    <s v="Riya 79"/>
    <x v="3"/>
    <x v="8"/>
    <x v="0"/>
    <n v="5"/>
    <n v="175"/>
    <n v="0.02"/>
    <n v="857"/>
    <x v="2"/>
    <x v="1"/>
    <n v="102"/>
  </r>
  <r>
    <s v="ORD0486"/>
    <x v="8"/>
    <d v="2026-06-21T00:00:00"/>
    <s v="Riya 76"/>
    <x v="0"/>
    <x v="0"/>
    <x v="0"/>
    <n v="1"/>
    <n v="527"/>
    <n v="0.1"/>
    <n v="474"/>
    <x v="0"/>
    <x v="0"/>
    <n v="90"/>
  </r>
  <r>
    <s v="ORD0487"/>
    <x v="0"/>
    <d v="2026-12-12T00:00:00"/>
    <s v="Sneha 44"/>
    <x v="4"/>
    <x v="8"/>
    <x v="0"/>
    <n v="5"/>
    <n v="306"/>
    <n v="0.13"/>
    <n v="1331"/>
    <x v="3"/>
    <x v="2"/>
    <n v="266"/>
  </r>
  <r>
    <s v="ORD0488"/>
    <x v="10"/>
    <d v="2026-01-12T00:00:00"/>
    <s v="Aarav 35"/>
    <x v="0"/>
    <x v="5"/>
    <x v="0"/>
    <n v="5"/>
    <n v="390"/>
    <n v="0.09"/>
    <n v="1774"/>
    <x v="1"/>
    <x v="0"/>
    <n v="283"/>
  </r>
  <r>
    <s v="ORD0489"/>
    <x v="6"/>
    <d v="2026-08-14T00:00:00"/>
    <s v="Rahul 16"/>
    <x v="1"/>
    <x v="3"/>
    <x v="0"/>
    <n v="2"/>
    <n v="786"/>
    <n v="0.04"/>
    <n v="1509"/>
    <x v="1"/>
    <x v="1"/>
    <n v="286"/>
  </r>
  <r>
    <s v="ORD0490"/>
    <x v="11"/>
    <d v="2026-10-18T00:00:00"/>
    <s v="Aarav 53"/>
    <x v="1"/>
    <x v="1"/>
    <x v="0"/>
    <n v="1"/>
    <n v="193"/>
    <n v="0.1"/>
    <n v="173"/>
    <x v="1"/>
    <x v="2"/>
    <n v="46"/>
  </r>
  <r>
    <s v="ORD0491"/>
    <x v="3"/>
    <d v="2026-11-07T00:00:00"/>
    <s v="Vikram 39"/>
    <x v="3"/>
    <x v="1"/>
    <x v="0"/>
    <n v="4"/>
    <n v="562"/>
    <n v="0.17"/>
    <n v="1865"/>
    <x v="3"/>
    <x v="2"/>
    <n v="354"/>
  </r>
  <r>
    <s v="ORD0492"/>
    <x v="5"/>
    <d v="2026-07-11T00:00:00"/>
    <s v="Rahul 33"/>
    <x v="4"/>
    <x v="9"/>
    <x v="0"/>
    <n v="2"/>
    <n v="321"/>
    <n v="0"/>
    <n v="642"/>
    <x v="3"/>
    <x v="2"/>
    <n v="211"/>
  </r>
  <r>
    <s v="ORD0493"/>
    <x v="5"/>
    <d v="2026-07-03T00:00:00"/>
    <s v="Riya 88"/>
    <x v="2"/>
    <x v="9"/>
    <x v="0"/>
    <n v="5"/>
    <n v="564"/>
    <n v="0.02"/>
    <n v="2763"/>
    <x v="2"/>
    <x v="0"/>
    <n v="414"/>
  </r>
  <r>
    <s v="ORD0494"/>
    <x v="7"/>
    <d v="2026-04-08T00:00:00"/>
    <s v="Karan 55"/>
    <x v="4"/>
    <x v="7"/>
    <x v="0"/>
    <n v="1"/>
    <n v="197"/>
    <n v="0.05"/>
    <n v="187"/>
    <x v="1"/>
    <x v="0"/>
    <n v="46"/>
  </r>
  <r>
    <s v="ORD0495"/>
    <x v="4"/>
    <d v="2026-09-07T00:00:00"/>
    <s v="Aarav 10"/>
    <x v="4"/>
    <x v="3"/>
    <x v="0"/>
    <n v="4"/>
    <n v="242"/>
    <n v="0.03"/>
    <n v="938"/>
    <x v="0"/>
    <x v="0"/>
    <n v="196"/>
  </r>
  <r>
    <s v="ORD0496"/>
    <x v="2"/>
    <d v="2026-02-21T00:00:00"/>
    <s v="Rahul 36"/>
    <x v="2"/>
    <x v="3"/>
    <x v="0"/>
    <n v="5"/>
    <n v="468"/>
    <n v="0.16"/>
    <n v="1965"/>
    <x v="0"/>
    <x v="1"/>
    <n v="196"/>
  </r>
  <r>
    <s v="ORD0497"/>
    <x v="2"/>
    <d v="2026-02-22T00:00:00"/>
    <s v="Rahul 86"/>
    <x v="2"/>
    <x v="10"/>
    <x v="0"/>
    <n v="4"/>
    <n v="716"/>
    <n v="0.14000000000000001"/>
    <n v="2463"/>
    <x v="2"/>
    <x v="1"/>
    <n v="862"/>
  </r>
  <r>
    <s v="ORD0498"/>
    <x v="3"/>
    <d v="2026-11-11T00:00:00"/>
    <s v="Aarav 66"/>
    <x v="2"/>
    <x v="1"/>
    <x v="0"/>
    <n v="2"/>
    <n v="409"/>
    <n v="0.02"/>
    <n v="801"/>
    <x v="0"/>
    <x v="1"/>
    <n v="144"/>
  </r>
  <r>
    <s v="ORD0499"/>
    <x v="6"/>
    <d v="2026-08-23T00:00:00"/>
    <s v="Vikram 11"/>
    <x v="1"/>
    <x v="5"/>
    <x v="0"/>
    <n v="4"/>
    <n v="606"/>
    <n v="0.14000000000000001"/>
    <n v="2084"/>
    <x v="0"/>
    <x v="0"/>
    <n v="604"/>
  </r>
  <r>
    <s v="ORD0500"/>
    <x v="4"/>
    <d v="2026-09-12T00:00:00"/>
    <s v="Sneha 44"/>
    <x v="0"/>
    <x v="7"/>
    <x v="0"/>
    <n v="3"/>
    <n v="323"/>
    <n v="7.0000000000000007E-2"/>
    <n v="901"/>
    <x v="2"/>
    <x v="2"/>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BBFA9-B2C8-4E1B-B085-5F2060F74B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M3:N13" firstHeaderRow="1" firstDataRow="1" firstDataCol="1"/>
  <pivotFields count="14">
    <pivotField showAll="0"/>
    <pivotField showAll="0"/>
    <pivotField showAll="0"/>
    <pivotField showAll="0"/>
    <pivotField showAll="0"/>
    <pivotField axis="axisRow" showAll="0">
      <items count="12">
        <item x="5"/>
        <item x="9"/>
        <item x="0"/>
        <item x="10"/>
        <item x="4"/>
        <item x="2"/>
        <item x="7"/>
        <item x="1"/>
        <item x="3"/>
        <item h="1" x="8"/>
        <item h="1" x="6"/>
        <item t="default"/>
      </items>
    </pivotField>
    <pivotField showAll="0"/>
    <pivotField showAll="0"/>
    <pivotField showAll="0"/>
    <pivotField numFmtId="9" showAll="0"/>
    <pivotField dataField="1" showAll="0"/>
    <pivotField showAll="0"/>
    <pivotField showAll="0"/>
    <pivotField showAll="0"/>
  </pivotFields>
  <rowFields count="1">
    <field x="5"/>
  </rowFields>
  <rowItems count="10">
    <i>
      <x/>
    </i>
    <i>
      <x v="1"/>
    </i>
    <i>
      <x v="2"/>
    </i>
    <i>
      <x v="3"/>
    </i>
    <i>
      <x v="4"/>
    </i>
    <i>
      <x v="5"/>
    </i>
    <i>
      <x v="6"/>
    </i>
    <i>
      <x v="7"/>
    </i>
    <i>
      <x v="8"/>
    </i>
    <i t="grand">
      <x/>
    </i>
  </rowItems>
  <colItems count="1">
    <i/>
  </colItems>
  <dataFields count="1">
    <dataField name="Sum of Amount" fld="10" baseField="0" baseItem="0"/>
  </dataFields>
  <formats count="1">
    <format dxfId="3">
      <pivotArea collapsedLevelsAreSubtotals="1" fieldPosition="0">
        <references count="1">
          <reference field="5" count="0"/>
        </references>
      </pivotArea>
    </format>
  </formats>
  <chartFormats count="5">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5" count="1" selected="0">
            <x v="10"/>
          </reference>
        </references>
      </pivotArea>
    </chartFormat>
    <chartFormat chart="44" format="4">
      <pivotArea type="data" outline="0" fieldPosition="0">
        <references count="2">
          <reference field="4294967294" count="1" selected="0">
            <x v="0"/>
          </reference>
          <reference field="5" count="1" selected="0">
            <x v="1"/>
          </reference>
        </references>
      </pivotArea>
    </chartFormat>
    <chartFormat chart="44" format="5">
      <pivotArea type="data" outline="0" fieldPosition="0">
        <references count="2">
          <reference field="4294967294" count="1" selected="0">
            <x v="0"/>
          </reference>
          <reference field="5" count="1" selected="0">
            <x v="5"/>
          </reference>
        </references>
      </pivotArea>
    </chartFormat>
    <chartFormat chart="44" format="6">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A7D91-DDC3-4458-A829-486A6D05F1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8:B10" firstHeaderRow="1" firstDataRow="1" firstDataCol="1"/>
  <pivotFields count="14">
    <pivotField showAll="0"/>
    <pivotField showAll="0"/>
    <pivotField showAll="0"/>
    <pivotField showAll="0"/>
    <pivotField showAll="0"/>
    <pivotField axis="axisRow" showAll="0">
      <items count="12">
        <item h="1" x="5"/>
        <item h="1" x="9"/>
        <item h="1" x="0"/>
        <item h="1" x="10"/>
        <item h="1" x="4"/>
        <item h="1" x="2"/>
        <item h="1" x="7"/>
        <item x="1"/>
        <item h="1" x="3"/>
        <item h="1" x="8"/>
        <item h="1" x="6"/>
        <item t="default"/>
      </items>
    </pivotField>
    <pivotField showAll="0"/>
    <pivotField showAll="0"/>
    <pivotField showAll="0"/>
    <pivotField numFmtId="9" showAll="0"/>
    <pivotField showAll="0"/>
    <pivotField showAll="0"/>
    <pivotField showAll="0"/>
    <pivotField dataField="1" showAll="0"/>
  </pivotFields>
  <rowFields count="1">
    <field x="5"/>
  </rowFields>
  <rowItems count="2">
    <i>
      <x v="7"/>
    </i>
    <i t="grand">
      <x/>
    </i>
  </rowItems>
  <colItems count="1">
    <i/>
  </colItems>
  <dataFields count="1">
    <dataField name="Sum of Profit" fld="13" baseField="0" baseItem="0"/>
  </dataFields>
  <chartFormats count="2">
    <chartFormat chart="15" format="2"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EAE5E-27C0-418C-9219-F01999503E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U21" firstHeaderRow="1" firstDataRow="1" firstDataCol="0"/>
  <pivotFields count="14">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6766D0-7610-4C8A-AB1F-3D99FE5D38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F12:G17" firstHeaderRow="1" firstDataRow="1" firstDataCol="1"/>
  <pivotFields count="14">
    <pivotField showAll="0"/>
    <pivotField showAll="0"/>
    <pivotField showAll="0"/>
    <pivotField showAll="0"/>
    <pivotField showAll="0"/>
    <pivotField showAll="0"/>
    <pivotField showAll="0"/>
    <pivotField showAll="0"/>
    <pivotField showAll="0"/>
    <pivotField numFmtId="9" showAll="0"/>
    <pivotField dataField="1" showAll="0"/>
    <pivotField axis="axisRow" showAll="0">
      <items count="5">
        <item x="2"/>
        <item x="3"/>
        <item x="0"/>
        <item x="1"/>
        <item t="default"/>
      </items>
    </pivotField>
    <pivotField showAll="0"/>
    <pivotField showAll="0"/>
  </pivotFields>
  <rowFields count="1">
    <field x="11"/>
  </rowFields>
  <rowItems count="5">
    <i>
      <x/>
    </i>
    <i>
      <x v="1"/>
    </i>
    <i>
      <x v="2"/>
    </i>
    <i>
      <x v="3"/>
    </i>
    <i t="grand">
      <x/>
    </i>
  </rowItems>
  <colItems count="1">
    <i/>
  </colItems>
  <dataFields count="1">
    <dataField name="Sum of Amount" fld="10" baseField="0" baseItem="0"/>
  </dataFields>
  <chartFormats count="11">
    <chartFormat chart="5"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1" count="1" selected="0">
            <x v="1"/>
          </reference>
        </references>
      </pivotArea>
    </chartFormat>
    <chartFormat chart="15" format="2">
      <pivotArea type="data" outline="0" fieldPosition="0">
        <references count="2">
          <reference field="4294967294" count="1" selected="0">
            <x v="0"/>
          </reference>
          <reference field="11" count="1" selected="0">
            <x v="0"/>
          </reference>
        </references>
      </pivotArea>
    </chartFormat>
    <chartFormat chart="15" format="3">
      <pivotArea type="data" outline="0" fieldPosition="0">
        <references count="2">
          <reference field="4294967294" count="1" selected="0">
            <x v="0"/>
          </reference>
          <reference field="11" count="1" selected="0">
            <x v="2"/>
          </reference>
        </references>
      </pivotArea>
    </chartFormat>
    <chartFormat chart="15" format="4">
      <pivotArea type="data" outline="0" fieldPosition="0">
        <references count="2">
          <reference field="4294967294" count="1" selected="0">
            <x v="0"/>
          </reference>
          <reference field="11" count="1" selected="0">
            <x v="3"/>
          </reference>
        </references>
      </pivotArea>
    </chartFormat>
    <chartFormat chart="30" format="30" series="1">
      <pivotArea type="data" outline="0" fieldPosition="0">
        <references count="1">
          <reference field="4294967294" count="1" selected="0">
            <x v="0"/>
          </reference>
        </references>
      </pivotArea>
    </chartFormat>
    <chartFormat chart="30" format="31">
      <pivotArea type="data" outline="0" fieldPosition="0">
        <references count="2">
          <reference field="4294967294" count="1" selected="0">
            <x v="0"/>
          </reference>
          <reference field="11" count="1" selected="0">
            <x v="0"/>
          </reference>
        </references>
      </pivotArea>
    </chartFormat>
    <chartFormat chart="30" format="32">
      <pivotArea type="data" outline="0" fieldPosition="0">
        <references count="2">
          <reference field="4294967294" count="1" selected="0">
            <x v="0"/>
          </reference>
          <reference field="11" count="1" selected="0">
            <x v="1"/>
          </reference>
        </references>
      </pivotArea>
    </chartFormat>
    <chartFormat chart="30" format="33">
      <pivotArea type="data" outline="0" fieldPosition="0">
        <references count="2">
          <reference field="4294967294" count="1" selected="0">
            <x v="0"/>
          </reference>
          <reference field="11" count="1" selected="0">
            <x v="2"/>
          </reference>
        </references>
      </pivotArea>
    </chartFormat>
    <chartFormat chart="30" format="3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0356A-A40A-4AEA-925A-F9EBD9C8590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4" firstHeaderRow="0" firstDataRow="1" firstDataCol="1"/>
  <pivotFields count="14">
    <pivotField showAll="0"/>
    <pivotField showAll="0"/>
    <pivotField showAll="0"/>
    <pivotField showAll="0"/>
    <pivotField showAll="0"/>
    <pivotField showAll="0"/>
    <pivotField axis="axisRow" showAll="0">
      <items count="2">
        <item x="0"/>
        <item t="default"/>
      </items>
    </pivotField>
    <pivotField dataField="1" showAll="0"/>
    <pivotField showAll="0"/>
    <pivotField numFmtId="9" showAll="0"/>
    <pivotField dataField="1" showAll="0"/>
    <pivotField showAll="0"/>
    <pivotField showAll="0"/>
    <pivotField dataField="1" showAll="0"/>
  </pivotFields>
  <rowFields count="1">
    <field x="6"/>
  </rowFields>
  <rowItems count="1">
    <i>
      <x/>
    </i>
  </rowItems>
  <colFields count="1">
    <field x="-2"/>
  </colFields>
  <colItems count="3">
    <i>
      <x/>
    </i>
    <i i="1">
      <x v="1"/>
    </i>
    <i i="2">
      <x v="2"/>
    </i>
  </colItems>
  <dataFields count="3">
    <dataField name="Sum of Amount" fld="10" baseField="0" baseItem="0"/>
    <dataField name="Sum of Quantity" fld="7" baseField="0" baseItem="0"/>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8F3D4E-3995-4214-B341-5D359AEB8A2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9:K15" firstHeaderRow="1" firstDataRow="1" firstDataCol="1"/>
  <pivotFields count="14">
    <pivotField showAll="0"/>
    <pivotField showAll="0"/>
    <pivotField showAll="0"/>
    <pivotField showAll="0"/>
    <pivotField axis="axisRow" showAll="0">
      <items count="6">
        <item x="3"/>
        <item x="1"/>
        <item x="0"/>
        <item x="4"/>
        <item x="2"/>
        <item t="default"/>
      </items>
    </pivotField>
    <pivotField showAll="0"/>
    <pivotField showAll="0"/>
    <pivotField showAll="0"/>
    <pivotField showAll="0"/>
    <pivotField numFmtId="9"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Amount" fld="10" baseField="0" baseItem="0"/>
  </dataFields>
  <formats count="1">
    <format dxfId="2">
      <pivotArea collapsedLevelsAreSubtotals="1" fieldPosition="0">
        <references count="1">
          <reference field="4" count="0"/>
        </references>
      </pivotArea>
    </format>
  </formats>
  <chartFormats count="3">
    <chartFormat chart="11"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65282B-1E46-4189-BA40-96822B6811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4:Q8" firstHeaderRow="1" firstDataRow="1" firstDataCol="1"/>
  <pivotFields count="14">
    <pivotField showAll="0"/>
    <pivotField showAll="0"/>
    <pivotField showAll="0"/>
    <pivotField showAll="0"/>
    <pivotField showAll="0"/>
    <pivotField showAll="0"/>
    <pivotField showAll="0"/>
    <pivotField showAll="0"/>
    <pivotField showAll="0"/>
    <pivotField numFmtId="9" showAll="0"/>
    <pivotField dataField="1" showAll="0"/>
    <pivotField showAll="0"/>
    <pivotField axis="axisRow" showAll="0">
      <items count="4">
        <item x="1"/>
        <item x="0"/>
        <item x="2"/>
        <item t="default"/>
      </items>
    </pivotField>
    <pivotField showAll="0"/>
  </pivotFields>
  <rowFields count="1">
    <field x="12"/>
  </rowFields>
  <rowItems count="4">
    <i>
      <x/>
    </i>
    <i>
      <x v="1"/>
    </i>
    <i>
      <x v="2"/>
    </i>
    <i t="grand">
      <x/>
    </i>
  </rowItems>
  <colItems count="1">
    <i/>
  </colItems>
  <dataFields count="1">
    <dataField name="Sum of Amount" fld="10" baseField="0" baseItem="0"/>
  </dataFields>
  <formats count="1">
    <format dxfId="1">
      <pivotArea collapsedLevelsAreSubtotals="1" fieldPosition="0">
        <references count="1">
          <reference field="12" count="0"/>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0A75AE-3110-4B9D-A942-FB6B30EB2B8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18:N31" firstHeaderRow="1" firstDataRow="1" firstDataCol="1"/>
  <pivotFields count="14">
    <pivotField showAll="0"/>
    <pivotField axis="axisRow" showAll="0">
      <items count="13">
        <item x="10"/>
        <item x="2"/>
        <item x="9"/>
        <item x="7"/>
        <item x="1"/>
        <item x="8"/>
        <item x="5"/>
        <item x="6"/>
        <item x="4"/>
        <item x="11"/>
        <item x="3"/>
        <item x="0"/>
        <item t="default"/>
      </items>
    </pivotField>
    <pivotField showAll="0"/>
    <pivotField showAll="0"/>
    <pivotField showAll="0"/>
    <pivotField showAll="0"/>
    <pivotField showAll="0"/>
    <pivotField showAll="0"/>
    <pivotField showAll="0"/>
    <pivotField numFmtId="9" showAll="0"/>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Amount" fld="10" baseField="0" baseItem="0"/>
  </dataFields>
  <formats count="1">
    <format dxfId="0">
      <pivotArea collapsedLevelsAreSubtotals="1" fieldPosition="0">
        <references count="1">
          <reference field="1" count="0"/>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D1B5391-8313-4BAF-A0F1-4E1A94A3FA13}" sourceName="Payment_Mode">
  <pivotTables>
    <pivotTable tabId="3" name="PivotTable4"/>
  </pivotTables>
  <data>
    <tabular pivotCacheId="192711469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C964D8DC-8D32-4177-A75D-A3C8956B8EBF}" sourceName="Item_Name">
  <pivotTables>
    <pivotTable tabId="3" name="PivotTable6"/>
  </pivotTables>
  <data>
    <tabular pivotCacheId="1927114692">
      <items count="11">
        <i x="5" s="1"/>
        <i x="9" s="1"/>
        <i x="0" s="1"/>
        <i x="10" s="1"/>
        <i x="4" s="1"/>
        <i x="2" s="1"/>
        <i x="7" s="1"/>
        <i x="1" s="1"/>
        <i x="3" s="1"/>
        <i x="8"/>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436F4A4C-71AB-44CA-A5B3-19BD73617A1E}" cache="Slicer_Payment_Mode" caption="Payment_Mode" style="SlicerStyleDark1" rowHeight="234950"/>
  <slicer name="Item_Name" xr10:uid="{5DE3DE59-9E05-406F-8835-C1FCBD1C14F9}" cache="Slicer_Item_Name" caption="food_na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F4EAC5-8A1A-4891-9338-7DBAB32AEECB}" name="Table1" displayName="Table1" ref="A1:N501" headerRowDxfId="35" headerRowBorderDxfId="34" tableBorderDxfId="33" totalsRowBorderDxfId="32">
  <autoFilter ref="A1:N501" xr:uid="{00000000-0001-0000-0000-000000000000}"/>
  <tableColumns count="14">
    <tableColumn id="1" xr3:uid="{3245D9D6-F694-4CD8-8C24-BE757E6B63C2}" name="Order_ID" totalsRowLabel="Total" dataDxfId="31" totalsRowDxfId="30"/>
    <tableColumn id="14" xr3:uid="{A27A7079-EC54-4CA2-B255-23F23D3AEDF7}" name="month" dataDxfId="29" totalsRowDxfId="28">
      <calculatedColumnFormula>TEXT(Table1[[#This Row],[Date]],"mmmm")</calculatedColumnFormula>
    </tableColumn>
    <tableColumn id="2" xr3:uid="{AAC49C6B-5CB1-4050-A75A-A19B8D63F50C}" name="Date" dataDxfId="27" totalsRowDxfId="26"/>
    <tableColumn id="3" xr3:uid="{8D9147CD-5A35-49DD-9F7B-DAB8BDD36E9E}" name="Customer_Name" dataDxfId="25" totalsRowDxfId="24"/>
    <tableColumn id="4" xr3:uid="{202C2FC3-1604-4D2A-A5AC-B05925EFD3A1}" name="City" dataDxfId="23" totalsRowDxfId="22"/>
    <tableColumn id="5" xr3:uid="{447C7ECD-38CE-4495-AE03-3A5A730383DD}" name="Item_Name" dataDxfId="21" totalsRowDxfId="20"/>
    <tableColumn id="6" xr3:uid="{EAB8A1FB-09B7-46B1-BC2E-72831420AF17}" name="Category" dataDxfId="19" totalsRowDxfId="18"/>
    <tableColumn id="7" xr3:uid="{601536C6-E634-4AE6-A501-0397220E36A9}" name="Quantity" dataDxfId="17" totalsRowDxfId="16"/>
    <tableColumn id="8" xr3:uid="{654C1029-06C0-491B-B9DA-0A102C2EC7D9}" name="Unit_Price" dataDxfId="6" totalsRowDxfId="15"/>
    <tableColumn id="9" xr3:uid="{FFCF7173-58FF-4AAC-AA7D-F5752B422ED8}" name="Discount" dataDxfId="14" totalsRowDxfId="13"/>
    <tableColumn id="10" xr3:uid="{E27FEFEE-919B-4C30-92B6-6514564A5039}" name="Amount" dataDxfId="5" totalsRowDxfId="12"/>
    <tableColumn id="11" xr3:uid="{A3728330-55D4-4E32-AB82-ACB090E99A6C}" name="Payment_Mode" dataDxfId="11" totalsRowDxfId="10"/>
    <tableColumn id="12" xr3:uid="{3DC210D0-B030-4354-A4B7-55A80896A039}" name="Order_Type" dataDxfId="9" totalsRowDxfId="8"/>
    <tableColumn id="13" xr3:uid="{B9F2C799-F7A5-459F-A082-1727647A0ACF}" name="Profit" totalsRowFunction="sum" dataDxfId="4" totalsRowDxfId="7"/>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B1" workbookViewId="0">
      <selection activeCell="Q20" sqref="Q20"/>
    </sheetView>
  </sheetViews>
  <sheetFormatPr defaultRowHeight="14.4" x14ac:dyDescent="0.3"/>
  <cols>
    <col min="1" max="2" width="11.44140625" customWidth="1"/>
    <col min="3" max="3" width="16.77734375" style="16" bestFit="1" customWidth="1"/>
    <col min="4" max="4" width="17" customWidth="1"/>
    <col min="5" max="5" width="10.77734375" customWidth="1"/>
    <col min="6" max="6" width="12.77734375" customWidth="1"/>
    <col min="7" max="7" width="10.44140625" customWidth="1"/>
    <col min="8" max="8" width="10.21875" customWidth="1"/>
    <col min="9" max="9" width="11.5546875" style="33" customWidth="1"/>
    <col min="10" max="10" width="10.44140625" customWidth="1"/>
    <col min="11" max="11" width="11" style="33" customWidth="1"/>
    <col min="12" max="12" width="16.44140625" customWidth="1"/>
    <col min="13" max="13" width="12.77734375" customWidth="1"/>
    <col min="14" max="14" width="10.44140625" style="33" customWidth="1"/>
    <col min="17" max="17" width="22.44140625" customWidth="1"/>
    <col min="20" max="20" width="12.5546875" bestFit="1" customWidth="1"/>
    <col min="21" max="21" width="16.21875" bestFit="1" customWidth="1"/>
  </cols>
  <sheetData>
    <row r="1" spans="1:17" x14ac:dyDescent="0.3">
      <c r="A1" s="5" t="s">
        <v>0</v>
      </c>
      <c r="B1" s="5" t="s">
        <v>924</v>
      </c>
      <c r="C1" s="13" t="s">
        <v>1</v>
      </c>
      <c r="D1" s="6" t="s">
        <v>2</v>
      </c>
      <c r="E1" s="6" t="s">
        <v>3</v>
      </c>
      <c r="F1" s="6" t="s">
        <v>4</v>
      </c>
      <c r="G1" s="6" t="s">
        <v>5</v>
      </c>
      <c r="H1" s="6" t="s">
        <v>6</v>
      </c>
      <c r="I1" s="30" t="s">
        <v>7</v>
      </c>
      <c r="J1" s="6" t="s">
        <v>8</v>
      </c>
      <c r="K1" s="30" t="s">
        <v>9</v>
      </c>
      <c r="L1" s="6" t="s">
        <v>10</v>
      </c>
      <c r="M1" s="6" t="s">
        <v>11</v>
      </c>
      <c r="N1" s="34" t="s">
        <v>12</v>
      </c>
    </row>
    <row r="2" spans="1:17" x14ac:dyDescent="0.3">
      <c r="A2" s="4" t="s">
        <v>13</v>
      </c>
      <c r="B2" s="4" t="str">
        <f>TEXT(Table1[[#This Row],[Date]],"mmmm")</f>
        <v>December</v>
      </c>
      <c r="C2" s="14">
        <v>46384</v>
      </c>
      <c r="D2" s="2" t="s">
        <v>14</v>
      </c>
      <c r="E2" s="2" t="s">
        <v>15</v>
      </c>
      <c r="F2" s="2" t="s">
        <v>16</v>
      </c>
      <c r="G2" s="2" t="s">
        <v>17</v>
      </c>
      <c r="H2" s="2">
        <v>5</v>
      </c>
      <c r="I2" s="31">
        <v>339</v>
      </c>
      <c r="J2" s="3">
        <v>0.18</v>
      </c>
      <c r="K2" s="31">
        <v>1389</v>
      </c>
      <c r="L2" s="2" t="s">
        <v>18</v>
      </c>
      <c r="M2" s="2" t="s">
        <v>19</v>
      </c>
      <c r="N2" s="35">
        <v>347</v>
      </c>
    </row>
    <row r="3" spans="1:17" x14ac:dyDescent="0.3">
      <c r="A3" s="4" t="s">
        <v>20</v>
      </c>
      <c r="B3" s="4" t="str">
        <f>TEXT(Table1[[#This Row],[Date]],"mmmm")</f>
        <v>May</v>
      </c>
      <c r="C3" s="14">
        <v>46152</v>
      </c>
      <c r="D3" s="2" t="s">
        <v>21</v>
      </c>
      <c r="E3" s="2" t="s">
        <v>22</v>
      </c>
      <c r="F3" s="2" t="s">
        <v>23</v>
      </c>
      <c r="G3" s="2" t="s">
        <v>17</v>
      </c>
      <c r="H3" s="2">
        <v>5</v>
      </c>
      <c r="I3" s="31">
        <v>210</v>
      </c>
      <c r="J3" s="3">
        <v>0.18</v>
      </c>
      <c r="K3" s="31">
        <v>861</v>
      </c>
      <c r="L3" s="2" t="s">
        <v>24</v>
      </c>
      <c r="M3" s="2" t="s">
        <v>19</v>
      </c>
      <c r="N3" s="35">
        <v>206</v>
      </c>
      <c r="Q3" s="1" t="s">
        <v>939</v>
      </c>
    </row>
    <row r="4" spans="1:17" x14ac:dyDescent="0.3">
      <c r="A4" s="4" t="s">
        <v>25</v>
      </c>
      <c r="B4" s="4" t="str">
        <f>TEXT(Table1[[#This Row],[Date]],"mmmm")</f>
        <v>February</v>
      </c>
      <c r="C4" s="14">
        <v>46058</v>
      </c>
      <c r="D4" s="2" t="s">
        <v>26</v>
      </c>
      <c r="E4" s="2" t="s">
        <v>27</v>
      </c>
      <c r="F4" s="2" t="s">
        <v>28</v>
      </c>
      <c r="G4" s="2" t="s">
        <v>17</v>
      </c>
      <c r="H4" s="2">
        <v>3</v>
      </c>
      <c r="I4" s="31">
        <v>617</v>
      </c>
      <c r="J4" s="3">
        <v>0.18</v>
      </c>
      <c r="K4" s="31">
        <v>1517</v>
      </c>
      <c r="L4" s="2" t="s">
        <v>29</v>
      </c>
      <c r="M4" s="2" t="s">
        <v>30</v>
      </c>
      <c r="N4" s="35">
        <v>379</v>
      </c>
      <c r="Q4" s="2" t="str" cm="1">
        <f t="array" ref="Q4">_xlfn.LET(
_xlpm.a,_xlfn.UNIQUE(L2:L501),
_xlpm.b,SUMIF(L2:L501,_xlpm.a,K2:K501),
INDEX(_xlpm.a,MATCH(MAX(_xlpm.b),_xlpm.b,0))
)</f>
        <v>UPI</v>
      </c>
    </row>
    <row r="5" spans="1:17" x14ac:dyDescent="0.3">
      <c r="A5" s="4" t="s">
        <v>31</v>
      </c>
      <c r="B5" s="4" t="str">
        <f>TEXT(Table1[[#This Row],[Date]],"mmmm")</f>
        <v>November</v>
      </c>
      <c r="C5" s="14">
        <v>46327</v>
      </c>
      <c r="D5" s="2" t="s">
        <v>32</v>
      </c>
      <c r="E5" s="2" t="s">
        <v>27</v>
      </c>
      <c r="F5" s="2" t="s">
        <v>33</v>
      </c>
      <c r="G5" s="2" t="s">
        <v>17</v>
      </c>
      <c r="H5" s="2">
        <v>2</v>
      </c>
      <c r="I5" s="31">
        <v>709</v>
      </c>
      <c r="J5" s="3">
        <v>0.03</v>
      </c>
      <c r="K5" s="31">
        <v>1375</v>
      </c>
      <c r="L5" s="2" t="s">
        <v>24</v>
      </c>
      <c r="M5" s="2" t="s">
        <v>19</v>
      </c>
      <c r="N5" s="35">
        <v>440</v>
      </c>
    </row>
    <row r="6" spans="1:17" x14ac:dyDescent="0.3">
      <c r="A6" s="4" t="s">
        <v>34</v>
      </c>
      <c r="B6" s="4" t="str">
        <f>TEXT(Table1[[#This Row],[Date]],"mmmm")</f>
        <v>September</v>
      </c>
      <c r="C6" s="14">
        <v>46282</v>
      </c>
      <c r="D6" s="2" t="s">
        <v>35</v>
      </c>
      <c r="E6" s="2" t="s">
        <v>15</v>
      </c>
      <c r="F6" s="2" t="s">
        <v>36</v>
      </c>
      <c r="G6" s="2" t="s">
        <v>17</v>
      </c>
      <c r="H6" s="2">
        <v>5</v>
      </c>
      <c r="I6" s="31">
        <v>461</v>
      </c>
      <c r="J6" s="3">
        <v>7.0000000000000007E-2</v>
      </c>
      <c r="K6" s="31">
        <v>2143</v>
      </c>
      <c r="L6" s="2" t="s">
        <v>37</v>
      </c>
      <c r="M6" s="2" t="s">
        <v>19</v>
      </c>
      <c r="N6" s="35">
        <v>492</v>
      </c>
      <c r="Q6" s="1" t="s">
        <v>937</v>
      </c>
    </row>
    <row r="7" spans="1:17" x14ac:dyDescent="0.3">
      <c r="A7" s="4" t="s">
        <v>38</v>
      </c>
      <c r="B7" s="4" t="str">
        <f>TEXT(Table1[[#This Row],[Date]],"mmmm")</f>
        <v>July</v>
      </c>
      <c r="C7" s="14">
        <v>46209</v>
      </c>
      <c r="D7" s="2" t="s">
        <v>39</v>
      </c>
      <c r="E7" s="2" t="s">
        <v>40</v>
      </c>
      <c r="F7" s="2" t="s">
        <v>41</v>
      </c>
      <c r="G7" s="2" t="s">
        <v>17</v>
      </c>
      <c r="H7" s="2">
        <v>4</v>
      </c>
      <c r="I7" s="31">
        <v>364</v>
      </c>
      <c r="J7" s="3">
        <v>0.2</v>
      </c>
      <c r="K7" s="31">
        <v>1164</v>
      </c>
      <c r="L7" s="2" t="s">
        <v>24</v>
      </c>
      <c r="M7" s="2" t="s">
        <v>30</v>
      </c>
      <c r="N7" s="35">
        <v>314</v>
      </c>
      <c r="Q7" s="2" t="str">
        <f>_xlfn.XLOOKUP(MAX(K2:K501),K2:K501,F2:F501)</f>
        <v>Momos</v>
      </c>
    </row>
    <row r="8" spans="1:17" x14ac:dyDescent="0.3">
      <c r="A8" s="4" t="s">
        <v>42</v>
      </c>
      <c r="B8" s="4" t="str">
        <f>TEXT(Table1[[#This Row],[Date]],"mmmm")</f>
        <v>August</v>
      </c>
      <c r="C8" s="14">
        <v>46258</v>
      </c>
      <c r="D8" s="2" t="s">
        <v>43</v>
      </c>
      <c r="E8" s="2" t="s">
        <v>40</v>
      </c>
      <c r="F8" s="2" t="s">
        <v>41</v>
      </c>
      <c r="G8" s="2" t="s">
        <v>17</v>
      </c>
      <c r="H8" s="2">
        <v>1</v>
      </c>
      <c r="I8" s="31">
        <v>346</v>
      </c>
      <c r="J8" s="3">
        <v>0.2</v>
      </c>
      <c r="K8" s="31">
        <v>276</v>
      </c>
      <c r="L8" s="2" t="s">
        <v>29</v>
      </c>
      <c r="M8" s="2" t="s">
        <v>30</v>
      </c>
      <c r="N8" s="35">
        <v>88</v>
      </c>
    </row>
    <row r="9" spans="1:17" x14ac:dyDescent="0.3">
      <c r="A9" s="4" t="s">
        <v>44</v>
      </c>
      <c r="B9" s="4" t="str">
        <f>TEXT(Table1[[#This Row],[Date]],"mmmm")</f>
        <v>April</v>
      </c>
      <c r="C9" s="14">
        <v>46115</v>
      </c>
      <c r="D9" s="2" t="s">
        <v>45</v>
      </c>
      <c r="E9" s="2" t="s">
        <v>40</v>
      </c>
      <c r="F9" s="2" t="s">
        <v>36</v>
      </c>
      <c r="G9" s="2" t="s">
        <v>17</v>
      </c>
      <c r="H9" s="2">
        <v>5</v>
      </c>
      <c r="I9" s="31">
        <v>136</v>
      </c>
      <c r="J9" s="3">
        <v>0.09</v>
      </c>
      <c r="K9" s="31">
        <v>618</v>
      </c>
      <c r="L9" s="2" t="s">
        <v>29</v>
      </c>
      <c r="M9" s="2" t="s">
        <v>30</v>
      </c>
      <c r="N9" s="35">
        <v>173</v>
      </c>
      <c r="Q9" s="1" t="s">
        <v>916</v>
      </c>
    </row>
    <row r="10" spans="1:17" x14ac:dyDescent="0.3">
      <c r="A10" s="4" t="s">
        <v>46</v>
      </c>
      <c r="B10" s="4" t="str">
        <f>TEXT(Table1[[#This Row],[Date]],"mmmm")</f>
        <v>June</v>
      </c>
      <c r="C10" s="14">
        <v>46201</v>
      </c>
      <c r="D10" s="2" t="s">
        <v>47</v>
      </c>
      <c r="E10" s="2" t="s">
        <v>27</v>
      </c>
      <c r="F10" s="2" t="s">
        <v>48</v>
      </c>
      <c r="G10" s="2" t="s">
        <v>17</v>
      </c>
      <c r="H10" s="2">
        <v>1</v>
      </c>
      <c r="I10" s="31">
        <v>85</v>
      </c>
      <c r="J10" s="3">
        <v>0.06</v>
      </c>
      <c r="K10" s="31">
        <v>79</v>
      </c>
      <c r="L10" s="2" t="s">
        <v>18</v>
      </c>
      <c r="M10" s="2" t="s">
        <v>30</v>
      </c>
      <c r="N10" s="35">
        <v>23</v>
      </c>
      <c r="Q10" s="31">
        <f>SUM(Table1[Profit])</f>
        <v>132615</v>
      </c>
    </row>
    <row r="11" spans="1:17" x14ac:dyDescent="0.3">
      <c r="A11" s="4" t="s">
        <v>49</v>
      </c>
      <c r="B11" s="4" t="str">
        <f>TEXT(Table1[[#This Row],[Date]],"mmmm")</f>
        <v>December</v>
      </c>
      <c r="C11" s="14">
        <v>46383</v>
      </c>
      <c r="D11" s="2" t="s">
        <v>50</v>
      </c>
      <c r="E11" s="2" t="s">
        <v>15</v>
      </c>
      <c r="F11" s="2" t="s">
        <v>33</v>
      </c>
      <c r="G11" s="2" t="s">
        <v>17</v>
      </c>
      <c r="H11" s="2">
        <v>3</v>
      </c>
      <c r="I11" s="31">
        <v>749</v>
      </c>
      <c r="J11" s="3">
        <v>0.03</v>
      </c>
      <c r="K11" s="31">
        <v>2179</v>
      </c>
      <c r="L11" s="2" t="s">
        <v>37</v>
      </c>
      <c r="M11" s="2" t="s">
        <v>30</v>
      </c>
      <c r="N11" s="35">
        <v>653</v>
      </c>
    </row>
    <row r="12" spans="1:17" x14ac:dyDescent="0.3">
      <c r="A12" s="4" t="s">
        <v>51</v>
      </c>
      <c r="B12" s="4" t="str">
        <f>TEXT(Table1[[#This Row],[Date]],"mmmm")</f>
        <v>June</v>
      </c>
      <c r="C12" s="14">
        <v>46176</v>
      </c>
      <c r="D12" s="2" t="s">
        <v>52</v>
      </c>
      <c r="E12" s="2" t="s">
        <v>22</v>
      </c>
      <c r="F12" s="2" t="s">
        <v>53</v>
      </c>
      <c r="G12" s="2" t="s">
        <v>17</v>
      </c>
      <c r="H12" s="2">
        <v>4</v>
      </c>
      <c r="I12" s="31">
        <v>133</v>
      </c>
      <c r="J12" s="3">
        <v>0.05</v>
      </c>
      <c r="K12" s="31">
        <v>505</v>
      </c>
      <c r="L12" s="2" t="s">
        <v>24</v>
      </c>
      <c r="M12" s="2" t="s">
        <v>54</v>
      </c>
      <c r="N12" s="35">
        <v>116</v>
      </c>
      <c r="Q12" s="1" t="s">
        <v>917</v>
      </c>
    </row>
    <row r="13" spans="1:17" x14ac:dyDescent="0.3">
      <c r="A13" s="4" t="s">
        <v>55</v>
      </c>
      <c r="B13" s="4" t="str">
        <f>TEXT(Table1[[#This Row],[Date]],"mmmm")</f>
        <v>August</v>
      </c>
      <c r="C13" s="14">
        <v>46240</v>
      </c>
      <c r="D13" s="2" t="s">
        <v>56</v>
      </c>
      <c r="E13" s="2" t="s">
        <v>15</v>
      </c>
      <c r="F13" s="2" t="s">
        <v>23</v>
      </c>
      <c r="G13" s="2" t="s">
        <v>17</v>
      </c>
      <c r="H13" s="2">
        <v>4</v>
      </c>
      <c r="I13" s="31">
        <v>170</v>
      </c>
      <c r="J13" s="3">
        <v>0.1</v>
      </c>
      <c r="K13" s="31">
        <v>612</v>
      </c>
      <c r="L13" s="2" t="s">
        <v>24</v>
      </c>
      <c r="M13" s="2" t="s">
        <v>30</v>
      </c>
      <c r="N13" s="35">
        <v>128</v>
      </c>
      <c r="Q13" s="31">
        <f>SUM(Table1[Amount])</f>
        <v>593996</v>
      </c>
    </row>
    <row r="14" spans="1:17" x14ac:dyDescent="0.3">
      <c r="A14" s="4" t="s">
        <v>57</v>
      </c>
      <c r="B14" s="4" t="str">
        <f>TEXT(Table1[[#This Row],[Date]],"mmmm")</f>
        <v>March</v>
      </c>
      <c r="C14" s="14">
        <v>46103</v>
      </c>
      <c r="D14" s="2" t="s">
        <v>58</v>
      </c>
      <c r="E14" s="2" t="s">
        <v>15</v>
      </c>
      <c r="F14" s="2" t="s">
        <v>16</v>
      </c>
      <c r="G14" s="2" t="s">
        <v>17</v>
      </c>
      <c r="H14" s="2">
        <v>5</v>
      </c>
      <c r="I14" s="31">
        <v>144</v>
      </c>
      <c r="J14" s="3">
        <v>0.19</v>
      </c>
      <c r="K14" s="31">
        <v>583</v>
      </c>
      <c r="L14" s="2" t="s">
        <v>37</v>
      </c>
      <c r="M14" s="2" t="s">
        <v>30</v>
      </c>
      <c r="N14" s="35">
        <v>174</v>
      </c>
    </row>
    <row r="15" spans="1:17" x14ac:dyDescent="0.3">
      <c r="A15" s="4" t="s">
        <v>59</v>
      </c>
      <c r="B15" s="4" t="str">
        <f>TEXT(Table1[[#This Row],[Date]],"mmmm")</f>
        <v>January</v>
      </c>
      <c r="C15" s="14">
        <v>46031</v>
      </c>
      <c r="D15" s="2" t="s">
        <v>60</v>
      </c>
      <c r="E15" s="2" t="s">
        <v>40</v>
      </c>
      <c r="F15" s="2" t="s">
        <v>33</v>
      </c>
      <c r="G15" s="2" t="s">
        <v>17</v>
      </c>
      <c r="H15" s="2">
        <v>5</v>
      </c>
      <c r="I15" s="31">
        <v>268</v>
      </c>
      <c r="J15" s="3">
        <v>0.12</v>
      </c>
      <c r="K15" s="31">
        <v>1179</v>
      </c>
      <c r="L15" s="2" t="s">
        <v>37</v>
      </c>
      <c r="M15" s="2" t="s">
        <v>30</v>
      </c>
      <c r="N15" s="35">
        <v>365</v>
      </c>
      <c r="Q15" s="1" t="s">
        <v>918</v>
      </c>
    </row>
    <row r="16" spans="1:17" x14ac:dyDescent="0.3">
      <c r="A16" s="4" t="s">
        <v>61</v>
      </c>
      <c r="B16" s="4" t="str">
        <f>TEXT(Table1[[#This Row],[Date]],"mmmm")</f>
        <v>February</v>
      </c>
      <c r="C16" s="14">
        <v>46071</v>
      </c>
      <c r="D16" s="2" t="s">
        <v>62</v>
      </c>
      <c r="E16" s="2" t="s">
        <v>27</v>
      </c>
      <c r="F16" s="2" t="s">
        <v>33</v>
      </c>
      <c r="G16" s="2" t="s">
        <v>17</v>
      </c>
      <c r="H16" s="2">
        <v>3</v>
      </c>
      <c r="I16" s="31">
        <v>720</v>
      </c>
      <c r="J16" s="3">
        <v>0.03</v>
      </c>
      <c r="K16" s="31">
        <v>2095</v>
      </c>
      <c r="L16" s="2" t="s">
        <v>29</v>
      </c>
      <c r="M16" s="2" t="s">
        <v>19</v>
      </c>
      <c r="N16" s="35">
        <v>419</v>
      </c>
      <c r="Q16" s="2">
        <f>COUNTA(Table1[Order_ID])</f>
        <v>500</v>
      </c>
    </row>
    <row r="17" spans="1:17" x14ac:dyDescent="0.3">
      <c r="A17" s="4" t="s">
        <v>63</v>
      </c>
      <c r="B17" s="4" t="str">
        <f>TEXT(Table1[[#This Row],[Date]],"mmmm")</f>
        <v>March</v>
      </c>
      <c r="C17" s="14">
        <v>46099</v>
      </c>
      <c r="D17" s="2" t="s">
        <v>64</v>
      </c>
      <c r="E17" s="2" t="s">
        <v>15</v>
      </c>
      <c r="F17" s="2" t="s">
        <v>41</v>
      </c>
      <c r="G17" s="2" t="s">
        <v>17</v>
      </c>
      <c r="H17" s="2">
        <v>3</v>
      </c>
      <c r="I17" s="31">
        <v>374</v>
      </c>
      <c r="J17" s="3">
        <v>0.16</v>
      </c>
      <c r="K17" s="31">
        <v>942</v>
      </c>
      <c r="L17" s="2" t="s">
        <v>18</v>
      </c>
      <c r="M17" s="2" t="s">
        <v>19</v>
      </c>
      <c r="N17" s="35">
        <v>254</v>
      </c>
    </row>
    <row r="18" spans="1:17" x14ac:dyDescent="0.3">
      <c r="A18" s="4" t="s">
        <v>65</v>
      </c>
      <c r="B18" s="4" t="str">
        <f>TEXT(Table1[[#This Row],[Date]],"mmmm")</f>
        <v>November</v>
      </c>
      <c r="C18" s="14">
        <v>46354</v>
      </c>
      <c r="D18" s="2" t="s">
        <v>66</v>
      </c>
      <c r="E18" s="2" t="s">
        <v>22</v>
      </c>
      <c r="F18" s="2" t="s">
        <v>67</v>
      </c>
      <c r="G18" s="2" t="s">
        <v>17</v>
      </c>
      <c r="H18" s="2">
        <v>4</v>
      </c>
      <c r="I18" s="31">
        <v>712</v>
      </c>
      <c r="J18" s="3">
        <v>0.15</v>
      </c>
      <c r="K18" s="31">
        <v>2420</v>
      </c>
      <c r="L18" s="2" t="s">
        <v>18</v>
      </c>
      <c r="M18" s="2" t="s">
        <v>54</v>
      </c>
      <c r="N18" s="35">
        <v>653</v>
      </c>
      <c r="Q18" s="37" t="s">
        <v>938</v>
      </c>
    </row>
    <row r="19" spans="1:17" x14ac:dyDescent="0.3">
      <c r="A19" s="4" t="s">
        <v>68</v>
      </c>
      <c r="B19" s="4" t="str">
        <f>TEXT(Table1[[#This Row],[Date]],"mmmm")</f>
        <v>July</v>
      </c>
      <c r="C19" s="14">
        <v>46217</v>
      </c>
      <c r="D19" s="2" t="s">
        <v>69</v>
      </c>
      <c r="E19" s="2" t="s">
        <v>70</v>
      </c>
      <c r="F19" s="2" t="s">
        <v>71</v>
      </c>
      <c r="G19" s="2" t="s">
        <v>17</v>
      </c>
      <c r="H19" s="2">
        <v>3</v>
      </c>
      <c r="I19" s="31">
        <v>684</v>
      </c>
      <c r="J19" s="3">
        <v>0.01</v>
      </c>
      <c r="K19" s="31">
        <v>2031</v>
      </c>
      <c r="L19" s="2" t="s">
        <v>18</v>
      </c>
      <c r="M19" s="2" t="s">
        <v>54</v>
      </c>
      <c r="N19" s="35">
        <v>629</v>
      </c>
      <c r="Q19" t="str" cm="1">
        <f t="array" ref="Q19">_xlfn.LET(
_xlpm.Cities,_xlfn.UNIQUE(E2:E501),
_xlpm.Revenue,SUMIF(E2:E501,_xlpm.Cities,K2:K501),
INDEX(_xlpm.Cities,MATCH(MAX(_xlpm.Revenue),_xlpm.Revenue,0))
)</f>
        <v>Pune</v>
      </c>
    </row>
    <row r="20" spans="1:17" x14ac:dyDescent="0.3">
      <c r="A20" s="4" t="s">
        <v>72</v>
      </c>
      <c r="B20" s="4" t="str">
        <f>TEXT(Table1[[#This Row],[Date]],"mmmm")</f>
        <v>January</v>
      </c>
      <c r="C20" s="14">
        <v>46043</v>
      </c>
      <c r="D20" s="2" t="s">
        <v>73</v>
      </c>
      <c r="E20" s="2" t="s">
        <v>70</v>
      </c>
      <c r="F20" s="2" t="s">
        <v>74</v>
      </c>
      <c r="G20" s="2" t="s">
        <v>17</v>
      </c>
      <c r="H20" s="2">
        <v>1</v>
      </c>
      <c r="I20" s="31">
        <v>252</v>
      </c>
      <c r="J20" s="3">
        <v>0.19</v>
      </c>
      <c r="K20" s="31">
        <v>204</v>
      </c>
      <c r="L20" s="2" t="s">
        <v>18</v>
      </c>
      <c r="M20" s="2" t="s">
        <v>19</v>
      </c>
      <c r="N20" s="35">
        <v>26</v>
      </c>
    </row>
    <row r="21" spans="1:17" x14ac:dyDescent="0.3">
      <c r="A21" s="4" t="s">
        <v>75</v>
      </c>
      <c r="B21" s="4" t="str">
        <f>TEXT(Table1[[#This Row],[Date]],"mmmm")</f>
        <v>February</v>
      </c>
      <c r="C21" s="14">
        <v>46070</v>
      </c>
      <c r="D21" s="2" t="s">
        <v>76</v>
      </c>
      <c r="E21" s="2" t="s">
        <v>27</v>
      </c>
      <c r="F21" s="2" t="s">
        <v>16</v>
      </c>
      <c r="G21" s="2" t="s">
        <v>17</v>
      </c>
      <c r="H21" s="2">
        <v>1</v>
      </c>
      <c r="I21" s="31">
        <v>189</v>
      </c>
      <c r="J21" s="3">
        <v>0.04</v>
      </c>
      <c r="K21" s="31">
        <v>181</v>
      </c>
      <c r="L21" s="2" t="s">
        <v>37</v>
      </c>
      <c r="M21" s="2" t="s">
        <v>19</v>
      </c>
      <c r="N21" s="35">
        <v>56</v>
      </c>
      <c r="Q21" s="10"/>
    </row>
    <row r="22" spans="1:17" x14ac:dyDescent="0.3">
      <c r="A22" s="4" t="s">
        <v>77</v>
      </c>
      <c r="B22" s="4" t="str">
        <f>TEXT(Table1[[#This Row],[Date]],"mmmm")</f>
        <v>August</v>
      </c>
      <c r="C22" s="14">
        <v>46235</v>
      </c>
      <c r="D22" s="2" t="s">
        <v>78</v>
      </c>
      <c r="E22" s="2" t="s">
        <v>40</v>
      </c>
      <c r="F22" s="2" t="s">
        <v>41</v>
      </c>
      <c r="G22" s="2" t="s">
        <v>17</v>
      </c>
      <c r="H22" s="2">
        <v>1</v>
      </c>
      <c r="I22" s="31">
        <v>111</v>
      </c>
      <c r="J22" s="3">
        <v>0.02</v>
      </c>
      <c r="K22" s="31">
        <v>108</v>
      </c>
      <c r="L22" s="2" t="s">
        <v>37</v>
      </c>
      <c r="M22" s="2" t="s">
        <v>30</v>
      </c>
      <c r="N22" s="35">
        <v>29</v>
      </c>
    </row>
    <row r="23" spans="1:17" x14ac:dyDescent="0.3">
      <c r="A23" s="4" t="s">
        <v>79</v>
      </c>
      <c r="B23" s="4" t="str">
        <f>TEXT(Table1[[#This Row],[Date]],"mmmm")</f>
        <v>May</v>
      </c>
      <c r="C23" s="14">
        <v>46147</v>
      </c>
      <c r="D23" s="2" t="s">
        <v>80</v>
      </c>
      <c r="E23" s="2" t="s">
        <v>22</v>
      </c>
      <c r="F23" s="2" t="s">
        <v>28</v>
      </c>
      <c r="G23" s="2" t="s">
        <v>17</v>
      </c>
      <c r="H23" s="2">
        <v>5</v>
      </c>
      <c r="I23" s="31">
        <v>777</v>
      </c>
      <c r="J23" s="3">
        <v>0.01</v>
      </c>
      <c r="K23" s="31">
        <v>3846</v>
      </c>
      <c r="L23" s="2" t="s">
        <v>37</v>
      </c>
      <c r="M23" s="2" t="s">
        <v>30</v>
      </c>
      <c r="N23" s="35">
        <v>730</v>
      </c>
    </row>
    <row r="24" spans="1:17" x14ac:dyDescent="0.3">
      <c r="A24" s="4" t="s">
        <v>81</v>
      </c>
      <c r="B24" s="4" t="str">
        <f>TEXT(Table1[[#This Row],[Date]],"mmmm")</f>
        <v>November</v>
      </c>
      <c r="C24" s="14">
        <v>46330</v>
      </c>
      <c r="D24" s="2" t="s">
        <v>82</v>
      </c>
      <c r="E24" s="2" t="s">
        <v>27</v>
      </c>
      <c r="F24" s="2" t="s">
        <v>67</v>
      </c>
      <c r="G24" s="2" t="s">
        <v>17</v>
      </c>
      <c r="H24" s="2">
        <v>1</v>
      </c>
      <c r="I24" s="31">
        <v>798</v>
      </c>
      <c r="J24" s="3">
        <v>0</v>
      </c>
      <c r="K24" s="31">
        <v>798</v>
      </c>
      <c r="L24" s="2" t="s">
        <v>18</v>
      </c>
      <c r="M24" s="2" t="s">
        <v>19</v>
      </c>
      <c r="N24" s="35">
        <v>103</v>
      </c>
    </row>
    <row r="25" spans="1:17" x14ac:dyDescent="0.3">
      <c r="A25" s="4" t="s">
        <v>83</v>
      </c>
      <c r="B25" s="4" t="str">
        <f>TEXT(Table1[[#This Row],[Date]],"mmmm")</f>
        <v>May</v>
      </c>
      <c r="C25" s="14">
        <v>46157</v>
      </c>
      <c r="D25" s="2" t="s">
        <v>84</v>
      </c>
      <c r="E25" s="2" t="s">
        <v>40</v>
      </c>
      <c r="F25" s="2" t="s">
        <v>48</v>
      </c>
      <c r="G25" s="2" t="s">
        <v>17</v>
      </c>
      <c r="H25" s="2">
        <v>3</v>
      </c>
      <c r="I25" s="31">
        <v>170</v>
      </c>
      <c r="J25" s="3">
        <v>0.03</v>
      </c>
      <c r="K25" s="31">
        <v>494</v>
      </c>
      <c r="L25" s="2" t="s">
        <v>24</v>
      </c>
      <c r="M25" s="2" t="s">
        <v>30</v>
      </c>
      <c r="N25" s="35">
        <v>79</v>
      </c>
    </row>
    <row r="26" spans="1:17" x14ac:dyDescent="0.3">
      <c r="A26" s="4" t="s">
        <v>85</v>
      </c>
      <c r="B26" s="4" t="str">
        <f>TEXT(Table1[[#This Row],[Date]],"mmmm")</f>
        <v>June</v>
      </c>
      <c r="C26" s="14">
        <v>46189</v>
      </c>
      <c r="D26" s="2" t="s">
        <v>86</v>
      </c>
      <c r="E26" s="2" t="s">
        <v>27</v>
      </c>
      <c r="F26" s="2" t="s">
        <v>28</v>
      </c>
      <c r="G26" s="2" t="s">
        <v>17</v>
      </c>
      <c r="H26" s="2">
        <v>2</v>
      </c>
      <c r="I26" s="31">
        <v>800</v>
      </c>
      <c r="J26" s="3">
        <v>0.18</v>
      </c>
      <c r="K26" s="31">
        <v>1312</v>
      </c>
      <c r="L26" s="2" t="s">
        <v>37</v>
      </c>
      <c r="M26" s="2" t="s">
        <v>19</v>
      </c>
      <c r="N26" s="35">
        <v>341</v>
      </c>
    </row>
    <row r="27" spans="1:17" x14ac:dyDescent="0.3">
      <c r="A27" s="4" t="s">
        <v>87</v>
      </c>
      <c r="B27" s="4" t="str">
        <f>TEXT(Table1[[#This Row],[Date]],"mmmm")</f>
        <v>November</v>
      </c>
      <c r="C27" s="14">
        <v>46329</v>
      </c>
      <c r="D27" s="2" t="s">
        <v>88</v>
      </c>
      <c r="E27" s="2" t="s">
        <v>27</v>
      </c>
      <c r="F27" s="2" t="s">
        <v>74</v>
      </c>
      <c r="G27" s="2" t="s">
        <v>17</v>
      </c>
      <c r="H27" s="2">
        <v>5</v>
      </c>
      <c r="I27" s="31">
        <v>712</v>
      </c>
      <c r="J27" s="3">
        <v>0.01</v>
      </c>
      <c r="K27" s="31">
        <v>3524</v>
      </c>
      <c r="L27" s="2" t="s">
        <v>29</v>
      </c>
      <c r="M27" s="2" t="s">
        <v>54</v>
      </c>
      <c r="N27" s="35">
        <v>599</v>
      </c>
    </row>
    <row r="28" spans="1:17" x14ac:dyDescent="0.3">
      <c r="A28" s="4" t="s">
        <v>89</v>
      </c>
      <c r="B28" s="4" t="str">
        <f>TEXT(Table1[[#This Row],[Date]],"mmmm")</f>
        <v>January</v>
      </c>
      <c r="C28" s="14">
        <v>46031</v>
      </c>
      <c r="D28" s="2" t="s">
        <v>90</v>
      </c>
      <c r="E28" s="2" t="s">
        <v>22</v>
      </c>
      <c r="F28" s="2" t="s">
        <v>23</v>
      </c>
      <c r="G28" s="2" t="s">
        <v>17</v>
      </c>
      <c r="H28" s="2">
        <v>3</v>
      </c>
      <c r="I28" s="31">
        <v>767</v>
      </c>
      <c r="J28" s="3">
        <v>0.12</v>
      </c>
      <c r="K28" s="31">
        <v>2024</v>
      </c>
      <c r="L28" s="2" t="s">
        <v>18</v>
      </c>
      <c r="M28" s="2" t="s">
        <v>19</v>
      </c>
      <c r="N28" s="35">
        <v>465</v>
      </c>
    </row>
    <row r="29" spans="1:17" x14ac:dyDescent="0.3">
      <c r="A29" s="4" t="s">
        <v>91</v>
      </c>
      <c r="B29" s="4" t="str">
        <f>TEXT(Table1[[#This Row],[Date]],"mmmm")</f>
        <v>February</v>
      </c>
      <c r="C29" s="14">
        <v>46067</v>
      </c>
      <c r="D29" s="2" t="s">
        <v>92</v>
      </c>
      <c r="E29" s="2" t="s">
        <v>40</v>
      </c>
      <c r="F29" s="2" t="s">
        <v>74</v>
      </c>
      <c r="G29" s="2" t="s">
        <v>17</v>
      </c>
      <c r="H29" s="2">
        <v>1</v>
      </c>
      <c r="I29" s="31">
        <v>129</v>
      </c>
      <c r="J29" s="3">
        <v>7.0000000000000007E-2</v>
      </c>
      <c r="K29" s="31">
        <v>119</v>
      </c>
      <c r="L29" s="2" t="s">
        <v>18</v>
      </c>
      <c r="M29" s="2" t="s">
        <v>19</v>
      </c>
      <c r="N29" s="35">
        <v>21</v>
      </c>
    </row>
    <row r="30" spans="1:17" x14ac:dyDescent="0.3">
      <c r="A30" s="4" t="s">
        <v>93</v>
      </c>
      <c r="B30" s="4" t="str">
        <f>TEXT(Table1[[#This Row],[Date]],"mmmm")</f>
        <v>June</v>
      </c>
      <c r="C30" s="14">
        <v>46177</v>
      </c>
      <c r="D30" s="2" t="s">
        <v>94</v>
      </c>
      <c r="E30" s="2" t="s">
        <v>15</v>
      </c>
      <c r="F30" s="2" t="s">
        <v>74</v>
      </c>
      <c r="G30" s="2" t="s">
        <v>17</v>
      </c>
      <c r="H30" s="2">
        <v>2</v>
      </c>
      <c r="I30" s="31">
        <v>599</v>
      </c>
      <c r="J30" s="3">
        <v>0</v>
      </c>
      <c r="K30" s="31">
        <v>1198</v>
      </c>
      <c r="L30" s="2" t="s">
        <v>18</v>
      </c>
      <c r="M30" s="2" t="s">
        <v>19</v>
      </c>
      <c r="N30" s="35">
        <v>119</v>
      </c>
    </row>
    <row r="31" spans="1:17" x14ac:dyDescent="0.3">
      <c r="A31" s="4" t="s">
        <v>95</v>
      </c>
      <c r="B31" s="4" t="str">
        <f>TEXT(Table1[[#This Row],[Date]],"mmmm")</f>
        <v>May</v>
      </c>
      <c r="C31" s="14">
        <v>46163</v>
      </c>
      <c r="D31" s="2" t="s">
        <v>96</v>
      </c>
      <c r="E31" s="2" t="s">
        <v>22</v>
      </c>
      <c r="F31" s="2" t="s">
        <v>36</v>
      </c>
      <c r="G31" s="2" t="s">
        <v>17</v>
      </c>
      <c r="H31" s="2">
        <v>5</v>
      </c>
      <c r="I31" s="31">
        <v>502</v>
      </c>
      <c r="J31" s="3">
        <v>0.14000000000000001</v>
      </c>
      <c r="K31" s="31">
        <v>2158</v>
      </c>
      <c r="L31" s="2" t="s">
        <v>18</v>
      </c>
      <c r="M31" s="2" t="s">
        <v>19</v>
      </c>
      <c r="N31" s="35">
        <v>431</v>
      </c>
    </row>
    <row r="32" spans="1:17" x14ac:dyDescent="0.3">
      <c r="A32" s="4" t="s">
        <v>97</v>
      </c>
      <c r="B32" s="4" t="str">
        <f>TEXT(Table1[[#This Row],[Date]],"mmmm")</f>
        <v>December</v>
      </c>
      <c r="C32" s="14">
        <v>46357</v>
      </c>
      <c r="D32" s="2" t="s">
        <v>98</v>
      </c>
      <c r="E32" s="2" t="s">
        <v>15</v>
      </c>
      <c r="F32" s="2" t="s">
        <v>74</v>
      </c>
      <c r="G32" s="2" t="s">
        <v>17</v>
      </c>
      <c r="H32" s="2">
        <v>2</v>
      </c>
      <c r="I32" s="31">
        <v>502</v>
      </c>
      <c r="J32" s="3">
        <v>0</v>
      </c>
      <c r="K32" s="31">
        <v>1004</v>
      </c>
      <c r="L32" s="2" t="s">
        <v>24</v>
      </c>
      <c r="M32" s="2" t="s">
        <v>19</v>
      </c>
      <c r="N32" s="35">
        <v>100</v>
      </c>
    </row>
    <row r="33" spans="1:14" x14ac:dyDescent="0.3">
      <c r="A33" s="4" t="s">
        <v>99</v>
      </c>
      <c r="B33" s="4" t="str">
        <f>TEXT(Table1[[#This Row],[Date]],"mmmm")</f>
        <v>August</v>
      </c>
      <c r="C33" s="14">
        <v>46252</v>
      </c>
      <c r="D33" s="2" t="s">
        <v>100</v>
      </c>
      <c r="E33" s="2" t="s">
        <v>70</v>
      </c>
      <c r="F33" s="2" t="s">
        <v>36</v>
      </c>
      <c r="G33" s="2" t="s">
        <v>17</v>
      </c>
      <c r="H33" s="2">
        <v>2</v>
      </c>
      <c r="I33" s="31">
        <v>793</v>
      </c>
      <c r="J33" s="3">
        <v>0.02</v>
      </c>
      <c r="K33" s="31">
        <v>1554</v>
      </c>
      <c r="L33" s="2" t="s">
        <v>29</v>
      </c>
      <c r="M33" s="2" t="s">
        <v>30</v>
      </c>
      <c r="N33" s="35">
        <v>155</v>
      </c>
    </row>
    <row r="34" spans="1:14" x14ac:dyDescent="0.3">
      <c r="A34" s="4" t="s">
        <v>101</v>
      </c>
      <c r="B34" s="4" t="str">
        <f>TEXT(Table1[[#This Row],[Date]],"mmmm")</f>
        <v>October</v>
      </c>
      <c r="C34" s="14">
        <v>46321</v>
      </c>
      <c r="D34" s="2" t="s">
        <v>102</v>
      </c>
      <c r="E34" s="2" t="s">
        <v>15</v>
      </c>
      <c r="F34" s="2" t="s">
        <v>67</v>
      </c>
      <c r="G34" s="2" t="s">
        <v>17</v>
      </c>
      <c r="H34" s="2">
        <v>1</v>
      </c>
      <c r="I34" s="31">
        <v>194</v>
      </c>
      <c r="J34" s="3">
        <v>0.15</v>
      </c>
      <c r="K34" s="31">
        <v>164</v>
      </c>
      <c r="L34" s="2" t="s">
        <v>29</v>
      </c>
      <c r="M34" s="2" t="s">
        <v>19</v>
      </c>
      <c r="N34" s="35">
        <v>16</v>
      </c>
    </row>
    <row r="35" spans="1:14" x14ac:dyDescent="0.3">
      <c r="A35" s="4" t="s">
        <v>103</v>
      </c>
      <c r="B35" s="4" t="str">
        <f>TEXT(Table1[[#This Row],[Date]],"mmmm")</f>
        <v>December</v>
      </c>
      <c r="C35" s="14">
        <v>46374</v>
      </c>
      <c r="D35" s="2" t="s">
        <v>104</v>
      </c>
      <c r="E35" s="2" t="s">
        <v>70</v>
      </c>
      <c r="F35" s="2" t="s">
        <v>33</v>
      </c>
      <c r="G35" s="2" t="s">
        <v>17</v>
      </c>
      <c r="H35" s="2">
        <v>1</v>
      </c>
      <c r="I35" s="31">
        <v>453</v>
      </c>
      <c r="J35" s="3">
        <v>0.05</v>
      </c>
      <c r="K35" s="31">
        <v>430</v>
      </c>
      <c r="L35" s="2" t="s">
        <v>24</v>
      </c>
      <c r="M35" s="2" t="s">
        <v>30</v>
      </c>
      <c r="N35" s="35">
        <v>146</v>
      </c>
    </row>
    <row r="36" spans="1:14" x14ac:dyDescent="0.3">
      <c r="A36" s="4" t="s">
        <v>105</v>
      </c>
      <c r="B36" s="4" t="str">
        <f>TEXT(Table1[[#This Row],[Date]],"mmmm")</f>
        <v>May</v>
      </c>
      <c r="C36" s="14">
        <v>46161</v>
      </c>
      <c r="D36" s="2" t="s">
        <v>106</v>
      </c>
      <c r="E36" s="2" t="s">
        <v>40</v>
      </c>
      <c r="F36" s="2" t="s">
        <v>28</v>
      </c>
      <c r="G36" s="2" t="s">
        <v>17</v>
      </c>
      <c r="H36" s="2">
        <v>4</v>
      </c>
      <c r="I36" s="31">
        <v>310</v>
      </c>
      <c r="J36" s="3">
        <v>0.06</v>
      </c>
      <c r="K36" s="31">
        <v>1165</v>
      </c>
      <c r="L36" s="2" t="s">
        <v>18</v>
      </c>
      <c r="M36" s="2" t="s">
        <v>30</v>
      </c>
      <c r="N36" s="35">
        <v>372</v>
      </c>
    </row>
    <row r="37" spans="1:14" x14ac:dyDescent="0.3">
      <c r="A37" s="4" t="s">
        <v>107</v>
      </c>
      <c r="B37" s="4" t="str">
        <f>TEXT(Table1[[#This Row],[Date]],"mmmm")</f>
        <v>November</v>
      </c>
      <c r="C37" s="14">
        <v>46328</v>
      </c>
      <c r="D37" s="2" t="s">
        <v>108</v>
      </c>
      <c r="E37" s="2" t="s">
        <v>40</v>
      </c>
      <c r="F37" s="2" t="s">
        <v>53</v>
      </c>
      <c r="G37" s="2" t="s">
        <v>17</v>
      </c>
      <c r="H37" s="2">
        <v>2</v>
      </c>
      <c r="I37" s="31">
        <v>191</v>
      </c>
      <c r="J37" s="3">
        <v>0.14000000000000001</v>
      </c>
      <c r="K37" s="31">
        <v>328</v>
      </c>
      <c r="L37" s="2" t="s">
        <v>24</v>
      </c>
      <c r="M37" s="2" t="s">
        <v>54</v>
      </c>
      <c r="N37" s="35">
        <v>72</v>
      </c>
    </row>
    <row r="38" spans="1:14" x14ac:dyDescent="0.3">
      <c r="A38" s="4" t="s">
        <v>109</v>
      </c>
      <c r="B38" s="4" t="str">
        <f>TEXT(Table1[[#This Row],[Date]],"mmmm")</f>
        <v>May</v>
      </c>
      <c r="C38" s="14">
        <v>46150</v>
      </c>
      <c r="D38" s="2" t="s">
        <v>110</v>
      </c>
      <c r="E38" s="2" t="s">
        <v>70</v>
      </c>
      <c r="F38" s="2" t="s">
        <v>48</v>
      </c>
      <c r="G38" s="2" t="s">
        <v>17</v>
      </c>
      <c r="H38" s="2">
        <v>4</v>
      </c>
      <c r="I38" s="31">
        <v>81</v>
      </c>
      <c r="J38" s="3">
        <v>0.11</v>
      </c>
      <c r="K38" s="31">
        <v>288</v>
      </c>
      <c r="L38" s="2" t="s">
        <v>29</v>
      </c>
      <c r="M38" s="2" t="s">
        <v>19</v>
      </c>
      <c r="N38" s="35">
        <v>100</v>
      </c>
    </row>
    <row r="39" spans="1:14" x14ac:dyDescent="0.3">
      <c r="A39" s="4" t="s">
        <v>111</v>
      </c>
      <c r="B39" s="4" t="str">
        <f>TEXT(Table1[[#This Row],[Date]],"mmmm")</f>
        <v>September</v>
      </c>
      <c r="C39" s="14">
        <v>46292</v>
      </c>
      <c r="D39" s="2" t="s">
        <v>112</v>
      </c>
      <c r="E39" s="2" t="s">
        <v>27</v>
      </c>
      <c r="F39" s="2" t="s">
        <v>67</v>
      </c>
      <c r="G39" s="2" t="s">
        <v>17</v>
      </c>
      <c r="H39" s="2">
        <v>5</v>
      </c>
      <c r="I39" s="31">
        <v>549</v>
      </c>
      <c r="J39" s="3">
        <v>0.02</v>
      </c>
      <c r="K39" s="31">
        <v>2690</v>
      </c>
      <c r="L39" s="2" t="s">
        <v>24</v>
      </c>
      <c r="M39" s="2" t="s">
        <v>19</v>
      </c>
      <c r="N39" s="35">
        <v>887</v>
      </c>
    </row>
    <row r="40" spans="1:14" x14ac:dyDescent="0.3">
      <c r="A40" s="4" t="s">
        <v>113</v>
      </c>
      <c r="B40" s="4" t="str">
        <f>TEXT(Table1[[#This Row],[Date]],"mmmm")</f>
        <v>March</v>
      </c>
      <c r="C40" s="14">
        <v>46082</v>
      </c>
      <c r="D40" s="2" t="s">
        <v>114</v>
      </c>
      <c r="E40" s="2" t="s">
        <v>70</v>
      </c>
      <c r="F40" s="2" t="s">
        <v>16</v>
      </c>
      <c r="G40" s="2" t="s">
        <v>17</v>
      </c>
      <c r="H40" s="2">
        <v>2</v>
      </c>
      <c r="I40" s="31">
        <v>273</v>
      </c>
      <c r="J40" s="3">
        <v>0.13</v>
      </c>
      <c r="K40" s="31">
        <v>475</v>
      </c>
      <c r="L40" s="2" t="s">
        <v>29</v>
      </c>
      <c r="M40" s="2" t="s">
        <v>19</v>
      </c>
      <c r="N40" s="35">
        <v>99</v>
      </c>
    </row>
    <row r="41" spans="1:14" x14ac:dyDescent="0.3">
      <c r="A41" s="4" t="s">
        <v>115</v>
      </c>
      <c r="B41" s="4" t="str">
        <f>TEXT(Table1[[#This Row],[Date]],"mmmm")</f>
        <v>July</v>
      </c>
      <c r="C41" s="14">
        <v>46205</v>
      </c>
      <c r="D41" s="2" t="s">
        <v>116</v>
      </c>
      <c r="E41" s="2" t="s">
        <v>22</v>
      </c>
      <c r="F41" s="2" t="s">
        <v>41</v>
      </c>
      <c r="G41" s="2" t="s">
        <v>17</v>
      </c>
      <c r="H41" s="2">
        <v>3</v>
      </c>
      <c r="I41" s="31">
        <v>217</v>
      </c>
      <c r="J41" s="3">
        <v>0.01</v>
      </c>
      <c r="K41" s="31">
        <v>644</v>
      </c>
      <c r="L41" s="2" t="s">
        <v>29</v>
      </c>
      <c r="M41" s="2" t="s">
        <v>54</v>
      </c>
      <c r="N41" s="35">
        <v>173</v>
      </c>
    </row>
    <row r="42" spans="1:14" x14ac:dyDescent="0.3">
      <c r="A42" s="4" t="s">
        <v>117</v>
      </c>
      <c r="B42" s="4" t="str">
        <f>TEXT(Table1[[#This Row],[Date]],"mmmm")</f>
        <v>May</v>
      </c>
      <c r="C42" s="14">
        <v>46166</v>
      </c>
      <c r="D42" s="2" t="s">
        <v>118</v>
      </c>
      <c r="E42" s="2" t="s">
        <v>27</v>
      </c>
      <c r="F42" s="2" t="s">
        <v>71</v>
      </c>
      <c r="G42" s="2" t="s">
        <v>17</v>
      </c>
      <c r="H42" s="2">
        <v>4</v>
      </c>
      <c r="I42" s="31">
        <v>403</v>
      </c>
      <c r="J42" s="3">
        <v>0.09</v>
      </c>
      <c r="K42" s="31">
        <v>1466</v>
      </c>
      <c r="L42" s="2" t="s">
        <v>29</v>
      </c>
      <c r="M42" s="2" t="s">
        <v>54</v>
      </c>
      <c r="N42" s="35">
        <v>381</v>
      </c>
    </row>
    <row r="43" spans="1:14" x14ac:dyDescent="0.3">
      <c r="A43" s="4" t="s">
        <v>119</v>
      </c>
      <c r="B43" s="4" t="str">
        <f>TEXT(Table1[[#This Row],[Date]],"mmmm")</f>
        <v>December</v>
      </c>
      <c r="C43" s="14">
        <v>46360</v>
      </c>
      <c r="D43" s="2" t="s">
        <v>120</v>
      </c>
      <c r="E43" s="2" t="s">
        <v>15</v>
      </c>
      <c r="F43" s="2" t="s">
        <v>48</v>
      </c>
      <c r="G43" s="2" t="s">
        <v>17</v>
      </c>
      <c r="H43" s="2">
        <v>1</v>
      </c>
      <c r="I43" s="31">
        <v>321</v>
      </c>
      <c r="J43" s="3">
        <v>0.12</v>
      </c>
      <c r="K43" s="31">
        <v>282</v>
      </c>
      <c r="L43" s="2" t="s">
        <v>37</v>
      </c>
      <c r="M43" s="2" t="s">
        <v>30</v>
      </c>
      <c r="N43" s="35">
        <v>90</v>
      </c>
    </row>
    <row r="44" spans="1:14" x14ac:dyDescent="0.3">
      <c r="A44" s="4" t="s">
        <v>121</v>
      </c>
      <c r="B44" s="4" t="str">
        <f>TEXT(Table1[[#This Row],[Date]],"mmmm")</f>
        <v>September</v>
      </c>
      <c r="C44" s="14">
        <v>46279</v>
      </c>
      <c r="D44" s="2" t="s">
        <v>122</v>
      </c>
      <c r="E44" s="2" t="s">
        <v>22</v>
      </c>
      <c r="F44" s="2" t="s">
        <v>41</v>
      </c>
      <c r="G44" s="2" t="s">
        <v>17</v>
      </c>
      <c r="H44" s="2">
        <v>3</v>
      </c>
      <c r="I44" s="31">
        <v>171</v>
      </c>
      <c r="J44" s="3">
        <v>0.16</v>
      </c>
      <c r="K44" s="31">
        <v>430</v>
      </c>
      <c r="L44" s="2" t="s">
        <v>37</v>
      </c>
      <c r="M44" s="2" t="s">
        <v>54</v>
      </c>
      <c r="N44" s="35">
        <v>124</v>
      </c>
    </row>
    <row r="45" spans="1:14" x14ac:dyDescent="0.3">
      <c r="A45" s="4" t="s">
        <v>123</v>
      </c>
      <c r="B45" s="4" t="str">
        <f>TEXT(Table1[[#This Row],[Date]],"mmmm")</f>
        <v>October</v>
      </c>
      <c r="C45" s="14">
        <v>46298</v>
      </c>
      <c r="D45" s="2" t="s">
        <v>124</v>
      </c>
      <c r="E45" s="2" t="s">
        <v>27</v>
      </c>
      <c r="F45" s="2" t="s">
        <v>53</v>
      </c>
      <c r="G45" s="2" t="s">
        <v>17</v>
      </c>
      <c r="H45" s="2">
        <v>1</v>
      </c>
      <c r="I45" s="31">
        <v>551</v>
      </c>
      <c r="J45" s="3">
        <v>0.09</v>
      </c>
      <c r="K45" s="31">
        <v>501</v>
      </c>
      <c r="L45" s="2" t="s">
        <v>18</v>
      </c>
      <c r="M45" s="2" t="s">
        <v>19</v>
      </c>
      <c r="N45" s="35">
        <v>175</v>
      </c>
    </row>
    <row r="46" spans="1:14" x14ac:dyDescent="0.3">
      <c r="A46" s="4" t="s">
        <v>125</v>
      </c>
      <c r="B46" s="4" t="str">
        <f>TEXT(Table1[[#This Row],[Date]],"mmmm")</f>
        <v>February</v>
      </c>
      <c r="C46" s="14">
        <v>46080</v>
      </c>
      <c r="D46" s="2" t="s">
        <v>126</v>
      </c>
      <c r="E46" s="2" t="s">
        <v>22</v>
      </c>
      <c r="F46" s="2" t="s">
        <v>41</v>
      </c>
      <c r="G46" s="2" t="s">
        <v>17</v>
      </c>
      <c r="H46" s="2">
        <v>1</v>
      </c>
      <c r="I46" s="31">
        <v>349</v>
      </c>
      <c r="J46" s="3">
        <v>0.09</v>
      </c>
      <c r="K46" s="31">
        <v>317</v>
      </c>
      <c r="L46" s="2" t="s">
        <v>24</v>
      </c>
      <c r="M46" s="2" t="s">
        <v>30</v>
      </c>
      <c r="N46" s="35">
        <v>72</v>
      </c>
    </row>
    <row r="47" spans="1:14" x14ac:dyDescent="0.3">
      <c r="A47" s="4" t="s">
        <v>127</v>
      </c>
      <c r="B47" s="4" t="str">
        <f>TEXT(Table1[[#This Row],[Date]],"mmmm")</f>
        <v>December</v>
      </c>
      <c r="C47" s="14">
        <v>46379</v>
      </c>
      <c r="D47" s="2" t="s">
        <v>128</v>
      </c>
      <c r="E47" s="2" t="s">
        <v>27</v>
      </c>
      <c r="F47" s="2" t="s">
        <v>67</v>
      </c>
      <c r="G47" s="2" t="s">
        <v>17</v>
      </c>
      <c r="H47" s="2">
        <v>4</v>
      </c>
      <c r="I47" s="31">
        <v>113</v>
      </c>
      <c r="J47" s="3">
        <v>0.16</v>
      </c>
      <c r="K47" s="31">
        <v>379</v>
      </c>
      <c r="L47" s="2" t="s">
        <v>18</v>
      </c>
      <c r="M47" s="2" t="s">
        <v>54</v>
      </c>
      <c r="N47" s="35">
        <v>106</v>
      </c>
    </row>
    <row r="48" spans="1:14" x14ac:dyDescent="0.3">
      <c r="A48" s="4" t="s">
        <v>129</v>
      </c>
      <c r="B48" s="4" t="str">
        <f>TEXT(Table1[[#This Row],[Date]],"mmmm")</f>
        <v>December</v>
      </c>
      <c r="C48" s="14">
        <v>46383</v>
      </c>
      <c r="D48" s="2" t="s">
        <v>130</v>
      </c>
      <c r="E48" s="2" t="s">
        <v>22</v>
      </c>
      <c r="F48" s="2" t="s">
        <v>53</v>
      </c>
      <c r="G48" s="2" t="s">
        <v>17</v>
      </c>
      <c r="H48" s="2">
        <v>2</v>
      </c>
      <c r="I48" s="31">
        <v>478</v>
      </c>
      <c r="J48" s="3">
        <v>0.02</v>
      </c>
      <c r="K48" s="31">
        <v>936</v>
      </c>
      <c r="L48" s="2" t="s">
        <v>24</v>
      </c>
      <c r="M48" s="2" t="s">
        <v>54</v>
      </c>
      <c r="N48" s="35">
        <v>93</v>
      </c>
    </row>
    <row r="49" spans="1:14" x14ac:dyDescent="0.3">
      <c r="A49" s="4" t="s">
        <v>131</v>
      </c>
      <c r="B49" s="4" t="str">
        <f>TEXT(Table1[[#This Row],[Date]],"mmmm")</f>
        <v>December</v>
      </c>
      <c r="C49" s="14">
        <v>46382</v>
      </c>
      <c r="D49" s="2" t="s">
        <v>132</v>
      </c>
      <c r="E49" s="2" t="s">
        <v>22</v>
      </c>
      <c r="F49" s="2" t="s">
        <v>48</v>
      </c>
      <c r="G49" s="2" t="s">
        <v>17</v>
      </c>
      <c r="H49" s="2">
        <v>2</v>
      </c>
      <c r="I49" s="31">
        <v>726</v>
      </c>
      <c r="J49" s="3">
        <v>7.0000000000000007E-2</v>
      </c>
      <c r="K49" s="31">
        <v>1350</v>
      </c>
      <c r="L49" s="2" t="s">
        <v>18</v>
      </c>
      <c r="M49" s="2" t="s">
        <v>30</v>
      </c>
      <c r="N49" s="35">
        <v>432</v>
      </c>
    </row>
    <row r="50" spans="1:14" x14ac:dyDescent="0.3">
      <c r="A50" s="4" t="s">
        <v>133</v>
      </c>
      <c r="B50" s="4" t="str">
        <f>TEXT(Table1[[#This Row],[Date]],"mmmm")</f>
        <v>September</v>
      </c>
      <c r="C50" s="14">
        <v>46292</v>
      </c>
      <c r="D50" s="2" t="s">
        <v>134</v>
      </c>
      <c r="E50" s="2" t="s">
        <v>27</v>
      </c>
      <c r="F50" s="2" t="s">
        <v>16</v>
      </c>
      <c r="G50" s="2" t="s">
        <v>17</v>
      </c>
      <c r="H50" s="2">
        <v>3</v>
      </c>
      <c r="I50" s="31">
        <v>247</v>
      </c>
      <c r="J50" s="3">
        <v>0.18</v>
      </c>
      <c r="K50" s="31">
        <v>607</v>
      </c>
      <c r="L50" s="2" t="s">
        <v>24</v>
      </c>
      <c r="M50" s="2" t="s">
        <v>19</v>
      </c>
      <c r="N50" s="35">
        <v>182</v>
      </c>
    </row>
    <row r="51" spans="1:14" x14ac:dyDescent="0.3">
      <c r="A51" s="4" t="s">
        <v>135</v>
      </c>
      <c r="B51" s="4" t="str">
        <f>TEXT(Table1[[#This Row],[Date]],"mmmm")</f>
        <v>September</v>
      </c>
      <c r="C51" s="14">
        <v>46267</v>
      </c>
      <c r="D51" s="2" t="s">
        <v>136</v>
      </c>
      <c r="E51" s="2" t="s">
        <v>70</v>
      </c>
      <c r="F51" s="2" t="s">
        <v>16</v>
      </c>
      <c r="G51" s="2" t="s">
        <v>17</v>
      </c>
      <c r="H51" s="2">
        <v>3</v>
      </c>
      <c r="I51" s="31">
        <v>303</v>
      </c>
      <c r="J51" s="3">
        <v>0.18</v>
      </c>
      <c r="K51" s="31">
        <v>745</v>
      </c>
      <c r="L51" s="2" t="s">
        <v>37</v>
      </c>
      <c r="M51" s="2" t="s">
        <v>30</v>
      </c>
      <c r="N51" s="35">
        <v>230</v>
      </c>
    </row>
    <row r="52" spans="1:14" x14ac:dyDescent="0.3">
      <c r="A52" s="4" t="s">
        <v>137</v>
      </c>
      <c r="B52" s="4" t="str">
        <f>TEXT(Table1[[#This Row],[Date]],"mmmm")</f>
        <v>January</v>
      </c>
      <c r="C52" s="14">
        <v>46024</v>
      </c>
      <c r="D52" s="2" t="s">
        <v>138</v>
      </c>
      <c r="E52" s="2" t="s">
        <v>22</v>
      </c>
      <c r="F52" s="2" t="s">
        <v>36</v>
      </c>
      <c r="G52" s="2" t="s">
        <v>17</v>
      </c>
      <c r="H52" s="2">
        <v>3</v>
      </c>
      <c r="I52" s="31">
        <v>140</v>
      </c>
      <c r="J52" s="3">
        <v>0.18</v>
      </c>
      <c r="K52" s="31">
        <v>344</v>
      </c>
      <c r="L52" s="2" t="s">
        <v>24</v>
      </c>
      <c r="M52" s="2" t="s">
        <v>54</v>
      </c>
      <c r="N52" s="35">
        <v>34</v>
      </c>
    </row>
    <row r="53" spans="1:14" x14ac:dyDescent="0.3">
      <c r="A53" s="4" t="s">
        <v>139</v>
      </c>
      <c r="B53" s="4" t="str">
        <f>TEXT(Table1[[#This Row],[Date]],"mmmm")</f>
        <v>November</v>
      </c>
      <c r="C53" s="14">
        <v>46343</v>
      </c>
      <c r="D53" s="2" t="s">
        <v>140</v>
      </c>
      <c r="E53" s="2" t="s">
        <v>27</v>
      </c>
      <c r="F53" s="2" t="s">
        <v>28</v>
      </c>
      <c r="G53" s="2" t="s">
        <v>17</v>
      </c>
      <c r="H53" s="2">
        <v>3</v>
      </c>
      <c r="I53" s="31">
        <v>243</v>
      </c>
      <c r="J53" s="3">
        <v>0.09</v>
      </c>
      <c r="K53" s="31">
        <v>663</v>
      </c>
      <c r="L53" s="2" t="s">
        <v>29</v>
      </c>
      <c r="M53" s="2" t="s">
        <v>30</v>
      </c>
      <c r="N53" s="35">
        <v>172</v>
      </c>
    </row>
    <row r="54" spans="1:14" x14ac:dyDescent="0.3">
      <c r="A54" s="4" t="s">
        <v>141</v>
      </c>
      <c r="B54" s="4" t="str">
        <f>TEXT(Table1[[#This Row],[Date]],"mmmm")</f>
        <v>April</v>
      </c>
      <c r="C54" s="14">
        <v>46117</v>
      </c>
      <c r="D54" s="2" t="s">
        <v>142</v>
      </c>
      <c r="E54" s="2" t="s">
        <v>15</v>
      </c>
      <c r="F54" s="2" t="s">
        <v>74</v>
      </c>
      <c r="G54" s="2" t="s">
        <v>17</v>
      </c>
      <c r="H54" s="2">
        <v>4</v>
      </c>
      <c r="I54" s="31">
        <v>293</v>
      </c>
      <c r="J54" s="3">
        <v>0.11</v>
      </c>
      <c r="K54" s="31">
        <v>1043</v>
      </c>
      <c r="L54" s="2" t="s">
        <v>18</v>
      </c>
      <c r="M54" s="2" t="s">
        <v>54</v>
      </c>
      <c r="N54" s="35">
        <v>323</v>
      </c>
    </row>
    <row r="55" spans="1:14" x14ac:dyDescent="0.3">
      <c r="A55" s="4" t="s">
        <v>143</v>
      </c>
      <c r="B55" s="4" t="str">
        <f>TEXT(Table1[[#This Row],[Date]],"mmmm")</f>
        <v>October</v>
      </c>
      <c r="C55" s="14">
        <v>46301</v>
      </c>
      <c r="D55" s="2" t="s">
        <v>144</v>
      </c>
      <c r="E55" s="2" t="s">
        <v>27</v>
      </c>
      <c r="F55" s="2" t="s">
        <v>16</v>
      </c>
      <c r="G55" s="2" t="s">
        <v>17</v>
      </c>
      <c r="H55" s="2">
        <v>4</v>
      </c>
      <c r="I55" s="31">
        <v>449</v>
      </c>
      <c r="J55" s="3">
        <v>7.0000000000000007E-2</v>
      </c>
      <c r="K55" s="31">
        <v>1670</v>
      </c>
      <c r="L55" s="2" t="s">
        <v>24</v>
      </c>
      <c r="M55" s="2" t="s">
        <v>54</v>
      </c>
      <c r="N55" s="35">
        <v>334</v>
      </c>
    </row>
    <row r="56" spans="1:14" x14ac:dyDescent="0.3">
      <c r="A56" s="4" t="s">
        <v>145</v>
      </c>
      <c r="B56" s="4" t="str">
        <f>TEXT(Table1[[#This Row],[Date]],"mmmm")</f>
        <v>October</v>
      </c>
      <c r="C56" s="14">
        <v>46296</v>
      </c>
      <c r="D56" s="2" t="s">
        <v>146</v>
      </c>
      <c r="E56" s="2" t="s">
        <v>40</v>
      </c>
      <c r="F56" s="2" t="s">
        <v>16</v>
      </c>
      <c r="G56" s="2" t="s">
        <v>17</v>
      </c>
      <c r="H56" s="2">
        <v>4</v>
      </c>
      <c r="I56" s="31">
        <v>272</v>
      </c>
      <c r="J56" s="3">
        <v>7.0000000000000007E-2</v>
      </c>
      <c r="K56" s="31">
        <v>1011</v>
      </c>
      <c r="L56" s="2" t="s">
        <v>18</v>
      </c>
      <c r="M56" s="2" t="s">
        <v>30</v>
      </c>
      <c r="N56" s="35">
        <v>343</v>
      </c>
    </row>
    <row r="57" spans="1:14" x14ac:dyDescent="0.3">
      <c r="A57" s="4" t="s">
        <v>147</v>
      </c>
      <c r="B57" s="4" t="str">
        <f>TEXT(Table1[[#This Row],[Date]],"mmmm")</f>
        <v>July</v>
      </c>
      <c r="C57" s="14">
        <v>46227</v>
      </c>
      <c r="D57" s="2" t="s">
        <v>148</v>
      </c>
      <c r="E57" s="2" t="s">
        <v>27</v>
      </c>
      <c r="F57" s="2" t="s">
        <v>41</v>
      </c>
      <c r="G57" s="2" t="s">
        <v>17</v>
      </c>
      <c r="H57" s="2">
        <v>3</v>
      </c>
      <c r="I57" s="31">
        <v>143</v>
      </c>
      <c r="J57" s="3">
        <v>0.08</v>
      </c>
      <c r="K57" s="31">
        <v>394</v>
      </c>
      <c r="L57" s="2" t="s">
        <v>29</v>
      </c>
      <c r="M57" s="2" t="s">
        <v>30</v>
      </c>
      <c r="N57" s="35">
        <v>102</v>
      </c>
    </row>
    <row r="58" spans="1:14" x14ac:dyDescent="0.3">
      <c r="A58" s="4" t="s">
        <v>149</v>
      </c>
      <c r="B58" s="4" t="str">
        <f>TEXT(Table1[[#This Row],[Date]],"mmmm")</f>
        <v>November</v>
      </c>
      <c r="C58" s="14">
        <v>46336</v>
      </c>
      <c r="D58" s="2" t="s">
        <v>150</v>
      </c>
      <c r="E58" s="2" t="s">
        <v>22</v>
      </c>
      <c r="F58" s="2" t="s">
        <v>41</v>
      </c>
      <c r="G58" s="2" t="s">
        <v>17</v>
      </c>
      <c r="H58" s="2">
        <v>5</v>
      </c>
      <c r="I58" s="31">
        <v>699</v>
      </c>
      <c r="J58" s="3">
        <v>0.17</v>
      </c>
      <c r="K58" s="31">
        <v>2900</v>
      </c>
      <c r="L58" s="2" t="s">
        <v>24</v>
      </c>
      <c r="M58" s="2" t="s">
        <v>19</v>
      </c>
      <c r="N58" s="35">
        <v>464</v>
      </c>
    </row>
    <row r="59" spans="1:14" x14ac:dyDescent="0.3">
      <c r="A59" s="4" t="s">
        <v>151</v>
      </c>
      <c r="B59" s="4" t="str">
        <f>TEXT(Table1[[#This Row],[Date]],"mmmm")</f>
        <v>October</v>
      </c>
      <c r="C59" s="14">
        <v>46297</v>
      </c>
      <c r="D59" s="2" t="s">
        <v>152</v>
      </c>
      <c r="E59" s="2" t="s">
        <v>22</v>
      </c>
      <c r="F59" s="2" t="s">
        <v>53</v>
      </c>
      <c r="G59" s="2" t="s">
        <v>17</v>
      </c>
      <c r="H59" s="2">
        <v>4</v>
      </c>
      <c r="I59" s="31">
        <v>125</v>
      </c>
      <c r="J59" s="3">
        <v>0.19</v>
      </c>
      <c r="K59" s="31">
        <v>405</v>
      </c>
      <c r="L59" s="2" t="s">
        <v>24</v>
      </c>
      <c r="M59" s="2" t="s">
        <v>30</v>
      </c>
      <c r="N59" s="35">
        <v>48</v>
      </c>
    </row>
    <row r="60" spans="1:14" x14ac:dyDescent="0.3">
      <c r="A60" s="4" t="s">
        <v>153</v>
      </c>
      <c r="B60" s="4" t="str">
        <f>TEXT(Table1[[#This Row],[Date]],"mmmm")</f>
        <v>December</v>
      </c>
      <c r="C60" s="14">
        <v>46366</v>
      </c>
      <c r="D60" s="2" t="s">
        <v>154</v>
      </c>
      <c r="E60" s="2" t="s">
        <v>40</v>
      </c>
      <c r="F60" s="2" t="s">
        <v>67</v>
      </c>
      <c r="G60" s="2" t="s">
        <v>17</v>
      </c>
      <c r="H60" s="2">
        <v>5</v>
      </c>
      <c r="I60" s="31">
        <v>350</v>
      </c>
      <c r="J60" s="3">
        <v>0.12</v>
      </c>
      <c r="K60" s="31">
        <v>1540</v>
      </c>
      <c r="L60" s="2" t="s">
        <v>18</v>
      </c>
      <c r="M60" s="2" t="s">
        <v>54</v>
      </c>
      <c r="N60" s="35">
        <v>277</v>
      </c>
    </row>
    <row r="61" spans="1:14" x14ac:dyDescent="0.3">
      <c r="A61" s="4" t="s">
        <v>155</v>
      </c>
      <c r="B61" s="4" t="str">
        <f>TEXT(Table1[[#This Row],[Date]],"mmmm")</f>
        <v>August</v>
      </c>
      <c r="C61" s="14">
        <v>46241</v>
      </c>
      <c r="D61" s="2" t="s">
        <v>156</v>
      </c>
      <c r="E61" s="2" t="s">
        <v>27</v>
      </c>
      <c r="F61" s="2" t="s">
        <v>48</v>
      </c>
      <c r="G61" s="2" t="s">
        <v>17</v>
      </c>
      <c r="H61" s="2">
        <v>3</v>
      </c>
      <c r="I61" s="31">
        <v>463</v>
      </c>
      <c r="J61" s="3">
        <v>0.13</v>
      </c>
      <c r="K61" s="31">
        <v>1208</v>
      </c>
      <c r="L61" s="2" t="s">
        <v>24</v>
      </c>
      <c r="M61" s="2" t="s">
        <v>54</v>
      </c>
      <c r="N61" s="35">
        <v>144</v>
      </c>
    </row>
    <row r="62" spans="1:14" x14ac:dyDescent="0.3">
      <c r="A62" s="4" t="s">
        <v>157</v>
      </c>
      <c r="B62" s="4" t="str">
        <f>TEXT(Table1[[#This Row],[Date]],"mmmm")</f>
        <v>December</v>
      </c>
      <c r="C62" s="14">
        <v>46359</v>
      </c>
      <c r="D62" s="2" t="s">
        <v>158</v>
      </c>
      <c r="E62" s="2" t="s">
        <v>15</v>
      </c>
      <c r="F62" s="2" t="s">
        <v>33</v>
      </c>
      <c r="G62" s="2" t="s">
        <v>17</v>
      </c>
      <c r="H62" s="2">
        <v>1</v>
      </c>
      <c r="I62" s="31">
        <v>117</v>
      </c>
      <c r="J62" s="3">
        <v>0.15</v>
      </c>
      <c r="K62" s="31">
        <v>99</v>
      </c>
      <c r="L62" s="2" t="s">
        <v>37</v>
      </c>
      <c r="M62" s="2" t="s">
        <v>30</v>
      </c>
      <c r="N62" s="35">
        <v>12</v>
      </c>
    </row>
    <row r="63" spans="1:14" x14ac:dyDescent="0.3">
      <c r="A63" s="4" t="s">
        <v>159</v>
      </c>
      <c r="B63" s="4" t="str">
        <f>TEXT(Table1[[#This Row],[Date]],"mmmm")</f>
        <v>August</v>
      </c>
      <c r="C63" s="14">
        <v>46261</v>
      </c>
      <c r="D63" s="2" t="s">
        <v>160</v>
      </c>
      <c r="E63" s="2" t="s">
        <v>22</v>
      </c>
      <c r="F63" s="2" t="s">
        <v>67</v>
      </c>
      <c r="G63" s="2" t="s">
        <v>17</v>
      </c>
      <c r="H63" s="2">
        <v>2</v>
      </c>
      <c r="I63" s="31">
        <v>690</v>
      </c>
      <c r="J63" s="3">
        <v>0.03</v>
      </c>
      <c r="K63" s="31">
        <v>1338</v>
      </c>
      <c r="L63" s="2" t="s">
        <v>24</v>
      </c>
      <c r="M63" s="2" t="s">
        <v>19</v>
      </c>
      <c r="N63" s="35">
        <v>414</v>
      </c>
    </row>
    <row r="64" spans="1:14" x14ac:dyDescent="0.3">
      <c r="A64" s="4" t="s">
        <v>161</v>
      </c>
      <c r="B64" s="4" t="str">
        <f>TEXT(Table1[[#This Row],[Date]],"mmmm")</f>
        <v>April</v>
      </c>
      <c r="C64" s="14">
        <v>46134</v>
      </c>
      <c r="D64" s="2" t="s">
        <v>162</v>
      </c>
      <c r="E64" s="2" t="s">
        <v>22</v>
      </c>
      <c r="F64" s="2" t="s">
        <v>41</v>
      </c>
      <c r="G64" s="2" t="s">
        <v>17</v>
      </c>
      <c r="H64" s="2">
        <v>4</v>
      </c>
      <c r="I64" s="31">
        <v>405</v>
      </c>
      <c r="J64" s="3">
        <v>0.13</v>
      </c>
      <c r="K64" s="31">
        <v>1409</v>
      </c>
      <c r="L64" s="2" t="s">
        <v>18</v>
      </c>
      <c r="M64" s="2" t="s">
        <v>19</v>
      </c>
      <c r="N64" s="35">
        <v>394</v>
      </c>
    </row>
    <row r="65" spans="1:14" x14ac:dyDescent="0.3">
      <c r="A65" s="4" t="s">
        <v>163</v>
      </c>
      <c r="B65" s="4" t="str">
        <f>TEXT(Table1[[#This Row],[Date]],"mmmm")</f>
        <v>July</v>
      </c>
      <c r="C65" s="14">
        <v>46210</v>
      </c>
      <c r="D65" s="2" t="s">
        <v>164</v>
      </c>
      <c r="E65" s="2" t="s">
        <v>22</v>
      </c>
      <c r="F65" s="2" t="s">
        <v>48</v>
      </c>
      <c r="G65" s="2" t="s">
        <v>17</v>
      </c>
      <c r="H65" s="2">
        <v>3</v>
      </c>
      <c r="I65" s="31">
        <v>203</v>
      </c>
      <c r="J65" s="3">
        <v>0.01</v>
      </c>
      <c r="K65" s="31">
        <v>602</v>
      </c>
      <c r="L65" s="2" t="s">
        <v>18</v>
      </c>
      <c r="M65" s="2" t="s">
        <v>30</v>
      </c>
      <c r="N65" s="35">
        <v>108</v>
      </c>
    </row>
    <row r="66" spans="1:14" x14ac:dyDescent="0.3">
      <c r="A66" s="4" t="s">
        <v>165</v>
      </c>
      <c r="B66" s="4" t="str">
        <f>TEXT(Table1[[#This Row],[Date]],"mmmm")</f>
        <v>November</v>
      </c>
      <c r="C66" s="14">
        <v>46334</v>
      </c>
      <c r="D66" s="2" t="s">
        <v>166</v>
      </c>
      <c r="E66" s="2" t="s">
        <v>15</v>
      </c>
      <c r="F66" s="2" t="s">
        <v>41</v>
      </c>
      <c r="G66" s="2" t="s">
        <v>17</v>
      </c>
      <c r="H66" s="2">
        <v>4</v>
      </c>
      <c r="I66" s="31">
        <v>373</v>
      </c>
      <c r="J66" s="3">
        <v>0</v>
      </c>
      <c r="K66" s="31">
        <v>1492</v>
      </c>
      <c r="L66" s="2" t="s">
        <v>24</v>
      </c>
      <c r="M66" s="2" t="s">
        <v>54</v>
      </c>
      <c r="N66" s="35">
        <v>373</v>
      </c>
    </row>
    <row r="67" spans="1:14" x14ac:dyDescent="0.3">
      <c r="A67" s="4" t="s">
        <v>167</v>
      </c>
      <c r="B67" s="4" t="str">
        <f>TEXT(Table1[[#This Row],[Date]],"mmmm")</f>
        <v>March</v>
      </c>
      <c r="C67" s="14">
        <v>46097</v>
      </c>
      <c r="D67" s="2" t="s">
        <v>168</v>
      </c>
      <c r="E67" s="2" t="s">
        <v>27</v>
      </c>
      <c r="F67" s="2" t="s">
        <v>16</v>
      </c>
      <c r="G67" s="2" t="s">
        <v>17</v>
      </c>
      <c r="H67" s="2">
        <v>2</v>
      </c>
      <c r="I67" s="31">
        <v>757</v>
      </c>
      <c r="J67" s="3">
        <v>0.03</v>
      </c>
      <c r="K67" s="31">
        <v>1468</v>
      </c>
      <c r="L67" s="2" t="s">
        <v>37</v>
      </c>
      <c r="M67" s="2" t="s">
        <v>30</v>
      </c>
      <c r="N67" s="35">
        <v>322</v>
      </c>
    </row>
    <row r="68" spans="1:14" x14ac:dyDescent="0.3">
      <c r="A68" s="4" t="s">
        <v>169</v>
      </c>
      <c r="B68" s="4" t="str">
        <f>TEXT(Table1[[#This Row],[Date]],"mmmm")</f>
        <v>March</v>
      </c>
      <c r="C68" s="14">
        <v>46095</v>
      </c>
      <c r="D68" s="2" t="s">
        <v>170</v>
      </c>
      <c r="E68" s="2" t="s">
        <v>70</v>
      </c>
      <c r="F68" s="2" t="s">
        <v>41</v>
      </c>
      <c r="G68" s="2" t="s">
        <v>17</v>
      </c>
      <c r="H68" s="2">
        <v>1</v>
      </c>
      <c r="I68" s="31">
        <v>589</v>
      </c>
      <c r="J68" s="3">
        <v>0.13</v>
      </c>
      <c r="K68" s="31">
        <v>512</v>
      </c>
      <c r="L68" s="2" t="s">
        <v>24</v>
      </c>
      <c r="M68" s="2" t="s">
        <v>19</v>
      </c>
      <c r="N68" s="35">
        <v>153</v>
      </c>
    </row>
    <row r="69" spans="1:14" x14ac:dyDescent="0.3">
      <c r="A69" s="4" t="s">
        <v>171</v>
      </c>
      <c r="B69" s="4" t="str">
        <f>TEXT(Table1[[#This Row],[Date]],"mmmm")</f>
        <v>August</v>
      </c>
      <c r="C69" s="14">
        <v>46252</v>
      </c>
      <c r="D69" s="2" t="s">
        <v>172</v>
      </c>
      <c r="E69" s="2" t="s">
        <v>27</v>
      </c>
      <c r="F69" s="2" t="s">
        <v>71</v>
      </c>
      <c r="G69" s="2" t="s">
        <v>17</v>
      </c>
      <c r="H69" s="2">
        <v>3</v>
      </c>
      <c r="I69" s="31">
        <v>145</v>
      </c>
      <c r="J69" s="3">
        <v>0.19</v>
      </c>
      <c r="K69" s="31">
        <v>352</v>
      </c>
      <c r="L69" s="2" t="s">
        <v>29</v>
      </c>
      <c r="M69" s="2" t="s">
        <v>19</v>
      </c>
      <c r="N69" s="35">
        <v>77</v>
      </c>
    </row>
    <row r="70" spans="1:14" x14ac:dyDescent="0.3">
      <c r="A70" s="4" t="s">
        <v>173</v>
      </c>
      <c r="B70" s="4" t="str">
        <f>TEXT(Table1[[#This Row],[Date]],"mmmm")</f>
        <v>November</v>
      </c>
      <c r="C70" s="14">
        <v>46347</v>
      </c>
      <c r="D70" s="2" t="s">
        <v>174</v>
      </c>
      <c r="E70" s="2" t="s">
        <v>40</v>
      </c>
      <c r="F70" s="2" t="s">
        <v>67</v>
      </c>
      <c r="G70" s="2" t="s">
        <v>17</v>
      </c>
      <c r="H70" s="2">
        <v>1</v>
      </c>
      <c r="I70" s="31">
        <v>406</v>
      </c>
      <c r="J70" s="3">
        <v>0.09</v>
      </c>
      <c r="K70" s="31">
        <v>369</v>
      </c>
      <c r="L70" s="2" t="s">
        <v>18</v>
      </c>
      <c r="M70" s="2" t="s">
        <v>54</v>
      </c>
      <c r="N70" s="35">
        <v>118</v>
      </c>
    </row>
    <row r="71" spans="1:14" x14ac:dyDescent="0.3">
      <c r="A71" s="4" t="s">
        <v>175</v>
      </c>
      <c r="B71" s="4" t="str">
        <f>TEXT(Table1[[#This Row],[Date]],"mmmm")</f>
        <v>September</v>
      </c>
      <c r="C71" s="14">
        <v>46270</v>
      </c>
      <c r="D71" s="2" t="s">
        <v>176</v>
      </c>
      <c r="E71" s="2" t="s">
        <v>22</v>
      </c>
      <c r="F71" s="2" t="s">
        <v>28</v>
      </c>
      <c r="G71" s="2" t="s">
        <v>17</v>
      </c>
      <c r="H71" s="2">
        <v>1</v>
      </c>
      <c r="I71" s="31">
        <v>280</v>
      </c>
      <c r="J71" s="3">
        <v>0.19</v>
      </c>
      <c r="K71" s="31">
        <v>226</v>
      </c>
      <c r="L71" s="2" t="s">
        <v>18</v>
      </c>
      <c r="M71" s="2" t="s">
        <v>30</v>
      </c>
      <c r="N71" s="35">
        <v>63</v>
      </c>
    </row>
    <row r="72" spans="1:14" x14ac:dyDescent="0.3">
      <c r="A72" s="4" t="s">
        <v>177</v>
      </c>
      <c r="B72" s="4" t="str">
        <f>TEXT(Table1[[#This Row],[Date]],"mmmm")</f>
        <v>May</v>
      </c>
      <c r="C72" s="14">
        <v>46155</v>
      </c>
      <c r="D72" s="2" t="s">
        <v>178</v>
      </c>
      <c r="E72" s="2" t="s">
        <v>15</v>
      </c>
      <c r="F72" s="2" t="s">
        <v>53</v>
      </c>
      <c r="G72" s="2" t="s">
        <v>17</v>
      </c>
      <c r="H72" s="2">
        <v>1</v>
      </c>
      <c r="I72" s="31">
        <v>545</v>
      </c>
      <c r="J72" s="3">
        <v>0</v>
      </c>
      <c r="K72" s="31">
        <v>545</v>
      </c>
      <c r="L72" s="2" t="s">
        <v>37</v>
      </c>
      <c r="M72" s="2" t="s">
        <v>19</v>
      </c>
      <c r="N72" s="35">
        <v>98</v>
      </c>
    </row>
    <row r="73" spans="1:14" x14ac:dyDescent="0.3">
      <c r="A73" s="4" t="s">
        <v>179</v>
      </c>
      <c r="B73" s="4" t="str">
        <f>TEXT(Table1[[#This Row],[Date]],"mmmm")</f>
        <v>August</v>
      </c>
      <c r="C73" s="14">
        <v>46262</v>
      </c>
      <c r="D73" s="2" t="s">
        <v>180</v>
      </c>
      <c r="E73" s="2" t="s">
        <v>22</v>
      </c>
      <c r="F73" s="2" t="s">
        <v>16</v>
      </c>
      <c r="G73" s="2" t="s">
        <v>17</v>
      </c>
      <c r="H73" s="2">
        <v>2</v>
      </c>
      <c r="I73" s="31">
        <v>264</v>
      </c>
      <c r="J73" s="3">
        <v>0.04</v>
      </c>
      <c r="K73" s="31">
        <v>506</v>
      </c>
      <c r="L73" s="2" t="s">
        <v>29</v>
      </c>
      <c r="M73" s="2" t="s">
        <v>19</v>
      </c>
      <c r="N73" s="35">
        <v>141</v>
      </c>
    </row>
    <row r="74" spans="1:14" x14ac:dyDescent="0.3">
      <c r="A74" s="4" t="s">
        <v>181</v>
      </c>
      <c r="B74" s="4" t="str">
        <f>TEXT(Table1[[#This Row],[Date]],"mmmm")</f>
        <v>January</v>
      </c>
      <c r="C74" s="14">
        <v>46048</v>
      </c>
      <c r="D74" s="2" t="s">
        <v>182</v>
      </c>
      <c r="E74" s="2" t="s">
        <v>22</v>
      </c>
      <c r="F74" s="2" t="s">
        <v>41</v>
      </c>
      <c r="G74" s="2" t="s">
        <v>17</v>
      </c>
      <c r="H74" s="2">
        <v>3</v>
      </c>
      <c r="I74" s="31">
        <v>207</v>
      </c>
      <c r="J74" s="3">
        <v>0.17</v>
      </c>
      <c r="K74" s="31">
        <v>515</v>
      </c>
      <c r="L74" s="2" t="s">
        <v>37</v>
      </c>
      <c r="M74" s="2" t="s">
        <v>19</v>
      </c>
      <c r="N74" s="35">
        <v>149</v>
      </c>
    </row>
    <row r="75" spans="1:14" x14ac:dyDescent="0.3">
      <c r="A75" s="4" t="s">
        <v>183</v>
      </c>
      <c r="B75" s="4" t="str">
        <f>TEXT(Table1[[#This Row],[Date]],"mmmm")</f>
        <v>May</v>
      </c>
      <c r="C75" s="14">
        <v>46156</v>
      </c>
      <c r="D75" s="2" t="s">
        <v>184</v>
      </c>
      <c r="E75" s="2" t="s">
        <v>70</v>
      </c>
      <c r="F75" s="2" t="s">
        <v>36</v>
      </c>
      <c r="G75" s="2" t="s">
        <v>17</v>
      </c>
      <c r="H75" s="2">
        <v>3</v>
      </c>
      <c r="I75" s="31">
        <v>485</v>
      </c>
      <c r="J75" s="3">
        <v>0.08</v>
      </c>
      <c r="K75" s="31">
        <v>1338</v>
      </c>
      <c r="L75" s="2" t="s">
        <v>37</v>
      </c>
      <c r="M75" s="2" t="s">
        <v>30</v>
      </c>
      <c r="N75" s="35">
        <v>468</v>
      </c>
    </row>
    <row r="76" spans="1:14" x14ac:dyDescent="0.3">
      <c r="A76" s="4" t="s">
        <v>185</v>
      </c>
      <c r="B76" s="4" t="str">
        <f>TEXT(Table1[[#This Row],[Date]],"mmmm")</f>
        <v>December</v>
      </c>
      <c r="C76" s="14">
        <v>46375</v>
      </c>
      <c r="D76" s="2" t="s">
        <v>186</v>
      </c>
      <c r="E76" s="2" t="s">
        <v>70</v>
      </c>
      <c r="F76" s="2" t="s">
        <v>74</v>
      </c>
      <c r="G76" s="2" t="s">
        <v>17</v>
      </c>
      <c r="H76" s="2">
        <v>3</v>
      </c>
      <c r="I76" s="31">
        <v>375</v>
      </c>
      <c r="J76" s="3">
        <v>0.01</v>
      </c>
      <c r="K76" s="31">
        <v>1113</v>
      </c>
      <c r="L76" s="2" t="s">
        <v>37</v>
      </c>
      <c r="M76" s="2" t="s">
        <v>54</v>
      </c>
      <c r="N76" s="35">
        <v>356</v>
      </c>
    </row>
    <row r="77" spans="1:14" x14ac:dyDescent="0.3">
      <c r="A77" s="4" t="s">
        <v>187</v>
      </c>
      <c r="B77" s="4" t="str">
        <f>TEXT(Table1[[#This Row],[Date]],"mmmm")</f>
        <v>August</v>
      </c>
      <c r="C77" s="14">
        <v>46256</v>
      </c>
      <c r="D77" s="2" t="s">
        <v>188</v>
      </c>
      <c r="E77" s="2" t="s">
        <v>15</v>
      </c>
      <c r="F77" s="2" t="s">
        <v>41</v>
      </c>
      <c r="G77" s="2" t="s">
        <v>17</v>
      </c>
      <c r="H77" s="2">
        <v>3</v>
      </c>
      <c r="I77" s="31">
        <v>329</v>
      </c>
      <c r="J77" s="3">
        <v>0.11</v>
      </c>
      <c r="K77" s="31">
        <v>878</v>
      </c>
      <c r="L77" s="2" t="s">
        <v>18</v>
      </c>
      <c r="M77" s="2" t="s">
        <v>19</v>
      </c>
      <c r="N77" s="35">
        <v>228</v>
      </c>
    </row>
    <row r="78" spans="1:14" x14ac:dyDescent="0.3">
      <c r="A78" s="4" t="s">
        <v>189</v>
      </c>
      <c r="B78" s="4" t="str">
        <f>TEXT(Table1[[#This Row],[Date]],"mmmm")</f>
        <v>November</v>
      </c>
      <c r="C78" s="14">
        <v>46333</v>
      </c>
      <c r="D78" s="2" t="s">
        <v>190</v>
      </c>
      <c r="E78" s="2" t="s">
        <v>40</v>
      </c>
      <c r="F78" s="2" t="s">
        <v>67</v>
      </c>
      <c r="G78" s="2" t="s">
        <v>17</v>
      </c>
      <c r="H78" s="2">
        <v>3</v>
      </c>
      <c r="I78" s="31">
        <v>356</v>
      </c>
      <c r="J78" s="3">
        <v>0.02</v>
      </c>
      <c r="K78" s="31">
        <v>1046</v>
      </c>
      <c r="L78" s="2" t="s">
        <v>18</v>
      </c>
      <c r="M78" s="2" t="s">
        <v>54</v>
      </c>
      <c r="N78" s="35">
        <v>282</v>
      </c>
    </row>
    <row r="79" spans="1:14" x14ac:dyDescent="0.3">
      <c r="A79" s="4" t="s">
        <v>191</v>
      </c>
      <c r="B79" s="4" t="str">
        <f>TEXT(Table1[[#This Row],[Date]],"mmmm")</f>
        <v>September</v>
      </c>
      <c r="C79" s="14">
        <v>46287</v>
      </c>
      <c r="D79" s="2" t="s">
        <v>192</v>
      </c>
      <c r="E79" s="2" t="s">
        <v>15</v>
      </c>
      <c r="F79" s="2" t="s">
        <v>23</v>
      </c>
      <c r="G79" s="2" t="s">
        <v>17</v>
      </c>
      <c r="H79" s="2">
        <v>1</v>
      </c>
      <c r="I79" s="31">
        <v>97</v>
      </c>
      <c r="J79" s="3">
        <v>0.12</v>
      </c>
      <c r="K79" s="31">
        <v>85</v>
      </c>
      <c r="L79" s="2" t="s">
        <v>18</v>
      </c>
      <c r="M79" s="2" t="s">
        <v>30</v>
      </c>
      <c r="N79" s="35">
        <v>17</v>
      </c>
    </row>
    <row r="80" spans="1:14" x14ac:dyDescent="0.3">
      <c r="A80" s="4" t="s">
        <v>193</v>
      </c>
      <c r="B80" s="4" t="str">
        <f>TEXT(Table1[[#This Row],[Date]],"mmmm")</f>
        <v>October</v>
      </c>
      <c r="C80" s="14">
        <v>46315</v>
      </c>
      <c r="D80" s="2" t="s">
        <v>194</v>
      </c>
      <c r="E80" s="2" t="s">
        <v>70</v>
      </c>
      <c r="F80" s="2" t="s">
        <v>23</v>
      </c>
      <c r="G80" s="2" t="s">
        <v>17</v>
      </c>
      <c r="H80" s="2">
        <v>1</v>
      </c>
      <c r="I80" s="31">
        <v>207</v>
      </c>
      <c r="J80" s="3">
        <v>0.05</v>
      </c>
      <c r="K80" s="31">
        <v>196</v>
      </c>
      <c r="L80" s="2" t="s">
        <v>18</v>
      </c>
      <c r="M80" s="2" t="s">
        <v>30</v>
      </c>
      <c r="N80" s="35">
        <v>29</v>
      </c>
    </row>
    <row r="81" spans="1:14" x14ac:dyDescent="0.3">
      <c r="A81" s="4" t="s">
        <v>195</v>
      </c>
      <c r="B81" s="4" t="str">
        <f>TEXT(Table1[[#This Row],[Date]],"mmmm")</f>
        <v>May</v>
      </c>
      <c r="C81" s="14">
        <v>46158</v>
      </c>
      <c r="D81" s="2" t="s">
        <v>196</v>
      </c>
      <c r="E81" s="2" t="s">
        <v>70</v>
      </c>
      <c r="F81" s="2" t="s">
        <v>41</v>
      </c>
      <c r="G81" s="2" t="s">
        <v>17</v>
      </c>
      <c r="H81" s="2">
        <v>2</v>
      </c>
      <c r="I81" s="31">
        <v>373</v>
      </c>
      <c r="J81" s="3">
        <v>7.0000000000000007E-2</v>
      </c>
      <c r="K81" s="31">
        <v>693</v>
      </c>
      <c r="L81" s="2" t="s">
        <v>29</v>
      </c>
      <c r="M81" s="2" t="s">
        <v>19</v>
      </c>
      <c r="N81" s="35">
        <v>228</v>
      </c>
    </row>
    <row r="82" spans="1:14" x14ac:dyDescent="0.3">
      <c r="A82" s="4" t="s">
        <v>197</v>
      </c>
      <c r="B82" s="4" t="str">
        <f>TEXT(Table1[[#This Row],[Date]],"mmmm")</f>
        <v>February</v>
      </c>
      <c r="C82" s="14">
        <v>46057</v>
      </c>
      <c r="D82" s="2" t="s">
        <v>198</v>
      </c>
      <c r="E82" s="2" t="s">
        <v>70</v>
      </c>
      <c r="F82" s="2" t="s">
        <v>71</v>
      </c>
      <c r="G82" s="2" t="s">
        <v>17</v>
      </c>
      <c r="H82" s="2">
        <v>5</v>
      </c>
      <c r="I82" s="31">
        <v>767</v>
      </c>
      <c r="J82" s="3">
        <v>0.11</v>
      </c>
      <c r="K82" s="31">
        <v>3413</v>
      </c>
      <c r="L82" s="2" t="s">
        <v>37</v>
      </c>
      <c r="M82" s="2" t="s">
        <v>54</v>
      </c>
      <c r="N82" s="35">
        <v>853</v>
      </c>
    </row>
    <row r="83" spans="1:14" x14ac:dyDescent="0.3">
      <c r="A83" s="4" t="s">
        <v>199</v>
      </c>
      <c r="B83" s="4" t="str">
        <f>TEXT(Table1[[#This Row],[Date]],"mmmm")</f>
        <v>July</v>
      </c>
      <c r="C83" s="14">
        <v>46214</v>
      </c>
      <c r="D83" s="2" t="s">
        <v>200</v>
      </c>
      <c r="E83" s="2" t="s">
        <v>15</v>
      </c>
      <c r="F83" s="2" t="s">
        <v>16</v>
      </c>
      <c r="G83" s="2" t="s">
        <v>17</v>
      </c>
      <c r="H83" s="2">
        <v>4</v>
      </c>
      <c r="I83" s="31">
        <v>228</v>
      </c>
      <c r="J83" s="3">
        <v>0.09</v>
      </c>
      <c r="K83" s="31">
        <v>829</v>
      </c>
      <c r="L83" s="2" t="s">
        <v>29</v>
      </c>
      <c r="M83" s="2" t="s">
        <v>54</v>
      </c>
      <c r="N83" s="35">
        <v>290</v>
      </c>
    </row>
    <row r="84" spans="1:14" x14ac:dyDescent="0.3">
      <c r="A84" s="4" t="s">
        <v>201</v>
      </c>
      <c r="B84" s="4" t="str">
        <f>TEXT(Table1[[#This Row],[Date]],"mmmm")</f>
        <v>August</v>
      </c>
      <c r="C84" s="14">
        <v>46244</v>
      </c>
      <c r="D84" s="2" t="s">
        <v>202</v>
      </c>
      <c r="E84" s="2" t="s">
        <v>15</v>
      </c>
      <c r="F84" s="2" t="s">
        <v>71</v>
      </c>
      <c r="G84" s="2" t="s">
        <v>17</v>
      </c>
      <c r="H84" s="2">
        <v>5</v>
      </c>
      <c r="I84" s="31">
        <v>477</v>
      </c>
      <c r="J84" s="3">
        <v>0.04</v>
      </c>
      <c r="K84" s="31">
        <v>2289</v>
      </c>
      <c r="L84" s="2" t="s">
        <v>18</v>
      </c>
      <c r="M84" s="2" t="s">
        <v>30</v>
      </c>
      <c r="N84" s="35">
        <v>640</v>
      </c>
    </row>
    <row r="85" spans="1:14" x14ac:dyDescent="0.3">
      <c r="A85" s="4" t="s">
        <v>203</v>
      </c>
      <c r="B85" s="4" t="str">
        <f>TEXT(Table1[[#This Row],[Date]],"mmmm")</f>
        <v>July</v>
      </c>
      <c r="C85" s="14">
        <v>46206</v>
      </c>
      <c r="D85" s="2" t="s">
        <v>204</v>
      </c>
      <c r="E85" s="2" t="s">
        <v>70</v>
      </c>
      <c r="F85" s="2" t="s">
        <v>48</v>
      </c>
      <c r="G85" s="2" t="s">
        <v>17</v>
      </c>
      <c r="H85" s="2">
        <v>3</v>
      </c>
      <c r="I85" s="31">
        <v>712</v>
      </c>
      <c r="J85" s="3">
        <v>0</v>
      </c>
      <c r="K85" s="31">
        <v>2136</v>
      </c>
      <c r="L85" s="2" t="s">
        <v>24</v>
      </c>
      <c r="M85" s="2" t="s">
        <v>54</v>
      </c>
      <c r="N85" s="35">
        <v>320</v>
      </c>
    </row>
    <row r="86" spans="1:14" x14ac:dyDescent="0.3">
      <c r="A86" s="4" t="s">
        <v>205</v>
      </c>
      <c r="B86" s="4" t="str">
        <f>TEXT(Table1[[#This Row],[Date]],"mmmm")</f>
        <v>July</v>
      </c>
      <c r="C86" s="14">
        <v>46231</v>
      </c>
      <c r="D86" s="2" t="s">
        <v>206</v>
      </c>
      <c r="E86" s="2" t="s">
        <v>70</v>
      </c>
      <c r="F86" s="2" t="s">
        <v>48</v>
      </c>
      <c r="G86" s="2" t="s">
        <v>17</v>
      </c>
      <c r="H86" s="2">
        <v>1</v>
      </c>
      <c r="I86" s="31">
        <v>192</v>
      </c>
      <c r="J86" s="3">
        <v>0.13</v>
      </c>
      <c r="K86" s="31">
        <v>167</v>
      </c>
      <c r="L86" s="2" t="s">
        <v>37</v>
      </c>
      <c r="M86" s="2" t="s">
        <v>19</v>
      </c>
      <c r="N86" s="35">
        <v>48</v>
      </c>
    </row>
    <row r="87" spans="1:14" x14ac:dyDescent="0.3">
      <c r="A87" s="4" t="s">
        <v>207</v>
      </c>
      <c r="B87" s="4" t="str">
        <f>TEXT(Table1[[#This Row],[Date]],"mmmm")</f>
        <v>May</v>
      </c>
      <c r="C87" s="14">
        <v>46162</v>
      </c>
      <c r="D87" s="2" t="s">
        <v>152</v>
      </c>
      <c r="E87" s="2" t="s">
        <v>40</v>
      </c>
      <c r="F87" s="2" t="s">
        <v>74</v>
      </c>
      <c r="G87" s="2" t="s">
        <v>17</v>
      </c>
      <c r="H87" s="2">
        <v>5</v>
      </c>
      <c r="I87" s="31">
        <v>773</v>
      </c>
      <c r="J87" s="3">
        <v>0.19</v>
      </c>
      <c r="K87" s="31">
        <v>3130</v>
      </c>
      <c r="L87" s="2" t="s">
        <v>24</v>
      </c>
      <c r="M87" s="2" t="s">
        <v>30</v>
      </c>
      <c r="N87" s="35">
        <v>563</v>
      </c>
    </row>
    <row r="88" spans="1:14" x14ac:dyDescent="0.3">
      <c r="A88" s="4" t="s">
        <v>208</v>
      </c>
      <c r="B88" s="4" t="str">
        <f>TEXT(Table1[[#This Row],[Date]],"mmmm")</f>
        <v>November</v>
      </c>
      <c r="C88" s="14">
        <v>46351</v>
      </c>
      <c r="D88" s="2" t="s">
        <v>209</v>
      </c>
      <c r="E88" s="2" t="s">
        <v>40</v>
      </c>
      <c r="F88" s="2" t="s">
        <v>71</v>
      </c>
      <c r="G88" s="2" t="s">
        <v>17</v>
      </c>
      <c r="H88" s="2">
        <v>2</v>
      </c>
      <c r="I88" s="31">
        <v>257</v>
      </c>
      <c r="J88" s="3">
        <v>0.04</v>
      </c>
      <c r="K88" s="31">
        <v>493</v>
      </c>
      <c r="L88" s="2" t="s">
        <v>18</v>
      </c>
      <c r="M88" s="2" t="s">
        <v>54</v>
      </c>
      <c r="N88" s="35">
        <v>78</v>
      </c>
    </row>
    <row r="89" spans="1:14" x14ac:dyDescent="0.3">
      <c r="A89" s="4" t="s">
        <v>210</v>
      </c>
      <c r="B89" s="4" t="str">
        <f>TEXT(Table1[[#This Row],[Date]],"mmmm")</f>
        <v>October</v>
      </c>
      <c r="C89" s="14">
        <v>46307</v>
      </c>
      <c r="D89" s="2" t="s">
        <v>211</v>
      </c>
      <c r="E89" s="2" t="s">
        <v>70</v>
      </c>
      <c r="F89" s="2" t="s">
        <v>67</v>
      </c>
      <c r="G89" s="2" t="s">
        <v>17</v>
      </c>
      <c r="H89" s="2">
        <v>4</v>
      </c>
      <c r="I89" s="31">
        <v>751</v>
      </c>
      <c r="J89" s="3">
        <v>0</v>
      </c>
      <c r="K89" s="31">
        <v>3004</v>
      </c>
      <c r="L89" s="2" t="s">
        <v>37</v>
      </c>
      <c r="M89" s="2" t="s">
        <v>19</v>
      </c>
      <c r="N89" s="35">
        <v>600</v>
      </c>
    </row>
    <row r="90" spans="1:14" x14ac:dyDescent="0.3">
      <c r="A90" s="4" t="s">
        <v>212</v>
      </c>
      <c r="B90" s="4" t="str">
        <f>TEXT(Table1[[#This Row],[Date]],"mmmm")</f>
        <v>February</v>
      </c>
      <c r="C90" s="14">
        <v>46081</v>
      </c>
      <c r="D90" s="2" t="s">
        <v>213</v>
      </c>
      <c r="E90" s="2" t="s">
        <v>22</v>
      </c>
      <c r="F90" s="2" t="s">
        <v>74</v>
      </c>
      <c r="G90" s="2" t="s">
        <v>17</v>
      </c>
      <c r="H90" s="2">
        <v>4</v>
      </c>
      <c r="I90" s="31">
        <v>370</v>
      </c>
      <c r="J90" s="3">
        <v>0.16</v>
      </c>
      <c r="K90" s="31">
        <v>1243</v>
      </c>
      <c r="L90" s="2" t="s">
        <v>18</v>
      </c>
      <c r="M90" s="2" t="s">
        <v>19</v>
      </c>
      <c r="N90" s="35">
        <v>273</v>
      </c>
    </row>
    <row r="91" spans="1:14" x14ac:dyDescent="0.3">
      <c r="A91" s="4" t="s">
        <v>214</v>
      </c>
      <c r="B91" s="4" t="str">
        <f>TEXT(Table1[[#This Row],[Date]],"mmmm")</f>
        <v>April</v>
      </c>
      <c r="C91" s="14">
        <v>46140</v>
      </c>
      <c r="D91" s="2" t="s">
        <v>215</v>
      </c>
      <c r="E91" s="2" t="s">
        <v>27</v>
      </c>
      <c r="F91" s="2" t="s">
        <v>53</v>
      </c>
      <c r="G91" s="2" t="s">
        <v>17</v>
      </c>
      <c r="H91" s="2">
        <v>4</v>
      </c>
      <c r="I91" s="31">
        <v>180</v>
      </c>
      <c r="J91" s="3">
        <v>0.02</v>
      </c>
      <c r="K91" s="31">
        <v>705</v>
      </c>
      <c r="L91" s="2" t="s">
        <v>24</v>
      </c>
      <c r="M91" s="2" t="s">
        <v>30</v>
      </c>
      <c r="N91" s="35">
        <v>98</v>
      </c>
    </row>
    <row r="92" spans="1:14" x14ac:dyDescent="0.3">
      <c r="A92" s="4" t="s">
        <v>216</v>
      </c>
      <c r="B92" s="4" t="str">
        <f>TEXT(Table1[[#This Row],[Date]],"mmmm")</f>
        <v>May</v>
      </c>
      <c r="C92" s="14">
        <v>46165</v>
      </c>
      <c r="D92" s="2" t="s">
        <v>217</v>
      </c>
      <c r="E92" s="2" t="s">
        <v>27</v>
      </c>
      <c r="F92" s="2" t="s">
        <v>33</v>
      </c>
      <c r="G92" s="2" t="s">
        <v>17</v>
      </c>
      <c r="H92" s="2">
        <v>5</v>
      </c>
      <c r="I92" s="31">
        <v>191</v>
      </c>
      <c r="J92" s="3">
        <v>0.15</v>
      </c>
      <c r="K92" s="31">
        <v>811</v>
      </c>
      <c r="L92" s="2" t="s">
        <v>37</v>
      </c>
      <c r="M92" s="2" t="s">
        <v>30</v>
      </c>
      <c r="N92" s="35">
        <v>105</v>
      </c>
    </row>
    <row r="93" spans="1:14" x14ac:dyDescent="0.3">
      <c r="A93" s="4" t="s">
        <v>218</v>
      </c>
      <c r="B93" s="4" t="str">
        <f>TEXT(Table1[[#This Row],[Date]],"mmmm")</f>
        <v>February</v>
      </c>
      <c r="C93" s="14">
        <v>46072</v>
      </c>
      <c r="D93" s="2" t="s">
        <v>219</v>
      </c>
      <c r="E93" s="2" t="s">
        <v>22</v>
      </c>
      <c r="F93" s="2" t="s">
        <v>53</v>
      </c>
      <c r="G93" s="2" t="s">
        <v>17</v>
      </c>
      <c r="H93" s="2">
        <v>5</v>
      </c>
      <c r="I93" s="31">
        <v>632</v>
      </c>
      <c r="J93" s="3">
        <v>0.18</v>
      </c>
      <c r="K93" s="31">
        <v>2591</v>
      </c>
      <c r="L93" s="2" t="s">
        <v>24</v>
      </c>
      <c r="M93" s="2" t="s">
        <v>54</v>
      </c>
      <c r="N93" s="35">
        <v>388</v>
      </c>
    </row>
    <row r="94" spans="1:14" x14ac:dyDescent="0.3">
      <c r="A94" s="4" t="s">
        <v>220</v>
      </c>
      <c r="B94" s="4" t="str">
        <f>TEXT(Table1[[#This Row],[Date]],"mmmm")</f>
        <v>July</v>
      </c>
      <c r="C94" s="14">
        <v>46228</v>
      </c>
      <c r="D94" s="2" t="s">
        <v>221</v>
      </c>
      <c r="E94" s="2" t="s">
        <v>40</v>
      </c>
      <c r="F94" s="2" t="s">
        <v>16</v>
      </c>
      <c r="G94" s="2" t="s">
        <v>17</v>
      </c>
      <c r="H94" s="2">
        <v>3</v>
      </c>
      <c r="I94" s="31">
        <v>369</v>
      </c>
      <c r="J94" s="3">
        <v>0.09</v>
      </c>
      <c r="K94" s="31">
        <v>1007</v>
      </c>
      <c r="L94" s="2" t="s">
        <v>29</v>
      </c>
      <c r="M94" s="2" t="s">
        <v>54</v>
      </c>
      <c r="N94" s="35">
        <v>251</v>
      </c>
    </row>
    <row r="95" spans="1:14" x14ac:dyDescent="0.3">
      <c r="A95" s="4" t="s">
        <v>222</v>
      </c>
      <c r="B95" s="4" t="str">
        <f>TEXT(Table1[[#This Row],[Date]],"mmmm")</f>
        <v>January</v>
      </c>
      <c r="C95" s="14">
        <v>46037</v>
      </c>
      <c r="D95" s="2" t="s">
        <v>223</v>
      </c>
      <c r="E95" s="2" t="s">
        <v>40</v>
      </c>
      <c r="F95" s="2" t="s">
        <v>71</v>
      </c>
      <c r="G95" s="2" t="s">
        <v>17</v>
      </c>
      <c r="H95" s="2">
        <v>1</v>
      </c>
      <c r="I95" s="31">
        <v>277</v>
      </c>
      <c r="J95" s="3">
        <v>0.15</v>
      </c>
      <c r="K95" s="31">
        <v>235</v>
      </c>
      <c r="L95" s="2" t="s">
        <v>37</v>
      </c>
      <c r="M95" s="2" t="s">
        <v>19</v>
      </c>
      <c r="N95" s="35">
        <v>25</v>
      </c>
    </row>
    <row r="96" spans="1:14" x14ac:dyDescent="0.3">
      <c r="A96" s="4" t="s">
        <v>224</v>
      </c>
      <c r="B96" s="4" t="str">
        <f>TEXT(Table1[[#This Row],[Date]],"mmmm")</f>
        <v>December</v>
      </c>
      <c r="C96" s="14">
        <v>46376</v>
      </c>
      <c r="D96" s="2" t="s">
        <v>225</v>
      </c>
      <c r="E96" s="2" t="s">
        <v>22</v>
      </c>
      <c r="F96" s="2" t="s">
        <v>67</v>
      </c>
      <c r="G96" s="2" t="s">
        <v>17</v>
      </c>
      <c r="H96" s="2">
        <v>5</v>
      </c>
      <c r="I96" s="31">
        <v>492</v>
      </c>
      <c r="J96" s="3">
        <v>0.13</v>
      </c>
      <c r="K96" s="31">
        <v>2140</v>
      </c>
      <c r="L96" s="2" t="s">
        <v>37</v>
      </c>
      <c r="M96" s="2" t="s">
        <v>54</v>
      </c>
      <c r="N96" s="35">
        <v>513</v>
      </c>
    </row>
    <row r="97" spans="1:14" x14ac:dyDescent="0.3">
      <c r="A97" s="4" t="s">
        <v>226</v>
      </c>
      <c r="B97" s="4" t="str">
        <f>TEXT(Table1[[#This Row],[Date]],"mmmm")</f>
        <v>November</v>
      </c>
      <c r="C97" s="14">
        <v>46354</v>
      </c>
      <c r="D97" s="2" t="s">
        <v>227</v>
      </c>
      <c r="E97" s="2" t="s">
        <v>40</v>
      </c>
      <c r="F97" s="2" t="s">
        <v>36</v>
      </c>
      <c r="G97" s="2" t="s">
        <v>17</v>
      </c>
      <c r="H97" s="2">
        <v>5</v>
      </c>
      <c r="I97" s="31">
        <v>168</v>
      </c>
      <c r="J97" s="3">
        <v>0.2</v>
      </c>
      <c r="K97" s="31">
        <v>672</v>
      </c>
      <c r="L97" s="2" t="s">
        <v>24</v>
      </c>
      <c r="M97" s="2" t="s">
        <v>19</v>
      </c>
      <c r="N97" s="35">
        <v>80</v>
      </c>
    </row>
    <row r="98" spans="1:14" x14ac:dyDescent="0.3">
      <c r="A98" s="4" t="s">
        <v>228</v>
      </c>
      <c r="B98" s="4" t="str">
        <f>TEXT(Table1[[#This Row],[Date]],"mmmm")</f>
        <v>May</v>
      </c>
      <c r="C98" s="14">
        <v>46155</v>
      </c>
      <c r="D98" s="2" t="s">
        <v>229</v>
      </c>
      <c r="E98" s="2" t="s">
        <v>15</v>
      </c>
      <c r="F98" s="2" t="s">
        <v>16</v>
      </c>
      <c r="G98" s="2" t="s">
        <v>17</v>
      </c>
      <c r="H98" s="2">
        <v>4</v>
      </c>
      <c r="I98" s="31">
        <v>585</v>
      </c>
      <c r="J98" s="3">
        <v>0.04</v>
      </c>
      <c r="K98" s="31">
        <v>2246</v>
      </c>
      <c r="L98" s="2" t="s">
        <v>24</v>
      </c>
      <c r="M98" s="2" t="s">
        <v>30</v>
      </c>
      <c r="N98" s="35">
        <v>381</v>
      </c>
    </row>
    <row r="99" spans="1:14" x14ac:dyDescent="0.3">
      <c r="A99" s="4" t="s">
        <v>230</v>
      </c>
      <c r="B99" s="4" t="str">
        <f>TEXT(Table1[[#This Row],[Date]],"mmmm")</f>
        <v>February</v>
      </c>
      <c r="C99" s="14">
        <v>46056</v>
      </c>
      <c r="D99" s="2" t="s">
        <v>231</v>
      </c>
      <c r="E99" s="2" t="s">
        <v>15</v>
      </c>
      <c r="F99" s="2" t="s">
        <v>36</v>
      </c>
      <c r="G99" s="2" t="s">
        <v>17</v>
      </c>
      <c r="H99" s="2">
        <v>3</v>
      </c>
      <c r="I99" s="31">
        <v>754</v>
      </c>
      <c r="J99" s="3">
        <v>0.11</v>
      </c>
      <c r="K99" s="31">
        <v>2013</v>
      </c>
      <c r="L99" s="2" t="s">
        <v>18</v>
      </c>
      <c r="M99" s="2" t="s">
        <v>19</v>
      </c>
      <c r="N99" s="35">
        <v>563</v>
      </c>
    </row>
    <row r="100" spans="1:14" x14ac:dyDescent="0.3">
      <c r="A100" s="4" t="s">
        <v>232</v>
      </c>
      <c r="B100" s="4" t="str">
        <f>TEXT(Table1[[#This Row],[Date]],"mmmm")</f>
        <v>September</v>
      </c>
      <c r="C100" s="14">
        <v>46293</v>
      </c>
      <c r="D100" s="2" t="s">
        <v>233</v>
      </c>
      <c r="E100" s="2" t="s">
        <v>15</v>
      </c>
      <c r="F100" s="2" t="s">
        <v>28</v>
      </c>
      <c r="G100" s="2" t="s">
        <v>17</v>
      </c>
      <c r="H100" s="2">
        <v>1</v>
      </c>
      <c r="I100" s="31">
        <v>624</v>
      </c>
      <c r="J100" s="3">
        <v>0.02</v>
      </c>
      <c r="K100" s="31">
        <v>611</v>
      </c>
      <c r="L100" s="2" t="s">
        <v>24</v>
      </c>
      <c r="M100" s="2" t="s">
        <v>54</v>
      </c>
      <c r="N100" s="35">
        <v>109</v>
      </c>
    </row>
    <row r="101" spans="1:14" x14ac:dyDescent="0.3">
      <c r="A101" s="4" t="s">
        <v>234</v>
      </c>
      <c r="B101" s="4" t="str">
        <f>TEXT(Table1[[#This Row],[Date]],"mmmm")</f>
        <v>June</v>
      </c>
      <c r="C101" s="14">
        <v>46184</v>
      </c>
      <c r="D101" s="2" t="s">
        <v>158</v>
      </c>
      <c r="E101" s="2" t="s">
        <v>40</v>
      </c>
      <c r="F101" s="2" t="s">
        <v>23</v>
      </c>
      <c r="G101" s="2" t="s">
        <v>17</v>
      </c>
      <c r="H101" s="2">
        <v>4</v>
      </c>
      <c r="I101" s="31">
        <v>510</v>
      </c>
      <c r="J101" s="3">
        <v>0.04</v>
      </c>
      <c r="K101" s="31">
        <v>1958</v>
      </c>
      <c r="L101" s="2" t="s">
        <v>29</v>
      </c>
      <c r="M101" s="2" t="s">
        <v>19</v>
      </c>
      <c r="N101" s="35">
        <v>411</v>
      </c>
    </row>
    <row r="102" spans="1:14" x14ac:dyDescent="0.3">
      <c r="A102" s="4" t="s">
        <v>235</v>
      </c>
      <c r="B102" s="4" t="str">
        <f>TEXT(Table1[[#This Row],[Date]],"mmmm")</f>
        <v>November</v>
      </c>
      <c r="C102" s="14">
        <v>46330</v>
      </c>
      <c r="D102" s="2" t="s">
        <v>236</v>
      </c>
      <c r="E102" s="2" t="s">
        <v>15</v>
      </c>
      <c r="F102" s="2" t="s">
        <v>74</v>
      </c>
      <c r="G102" s="2" t="s">
        <v>17</v>
      </c>
      <c r="H102" s="2">
        <v>4</v>
      </c>
      <c r="I102" s="31">
        <v>502</v>
      </c>
      <c r="J102" s="3">
        <v>0.05</v>
      </c>
      <c r="K102" s="31">
        <v>1907</v>
      </c>
      <c r="L102" s="2" t="s">
        <v>24</v>
      </c>
      <c r="M102" s="2" t="s">
        <v>19</v>
      </c>
      <c r="N102" s="35">
        <v>457</v>
      </c>
    </row>
    <row r="103" spans="1:14" x14ac:dyDescent="0.3">
      <c r="A103" s="4" t="s">
        <v>237</v>
      </c>
      <c r="B103" s="4" t="str">
        <f>TEXT(Table1[[#This Row],[Date]],"mmmm")</f>
        <v>May</v>
      </c>
      <c r="C103" s="14">
        <v>46143</v>
      </c>
      <c r="D103" s="2" t="s">
        <v>238</v>
      </c>
      <c r="E103" s="2" t="s">
        <v>27</v>
      </c>
      <c r="F103" s="2" t="s">
        <v>67</v>
      </c>
      <c r="G103" s="2" t="s">
        <v>17</v>
      </c>
      <c r="H103" s="2">
        <v>5</v>
      </c>
      <c r="I103" s="31">
        <v>720</v>
      </c>
      <c r="J103" s="3">
        <v>0</v>
      </c>
      <c r="K103" s="31">
        <v>3600</v>
      </c>
      <c r="L103" s="2" t="s">
        <v>37</v>
      </c>
      <c r="M103" s="2" t="s">
        <v>19</v>
      </c>
      <c r="N103" s="35">
        <v>1116</v>
      </c>
    </row>
    <row r="104" spans="1:14" x14ac:dyDescent="0.3">
      <c r="A104" s="4" t="s">
        <v>239</v>
      </c>
      <c r="B104" s="4" t="str">
        <f>TEXT(Table1[[#This Row],[Date]],"mmmm")</f>
        <v>July</v>
      </c>
      <c r="C104" s="14">
        <v>46213</v>
      </c>
      <c r="D104" s="2" t="s">
        <v>229</v>
      </c>
      <c r="E104" s="2" t="s">
        <v>22</v>
      </c>
      <c r="F104" s="2" t="s">
        <v>23</v>
      </c>
      <c r="G104" s="2" t="s">
        <v>17</v>
      </c>
      <c r="H104" s="2">
        <v>1</v>
      </c>
      <c r="I104" s="31">
        <v>91</v>
      </c>
      <c r="J104" s="3">
        <v>0.19</v>
      </c>
      <c r="K104" s="31">
        <v>73</v>
      </c>
      <c r="L104" s="2" t="s">
        <v>18</v>
      </c>
      <c r="M104" s="2" t="s">
        <v>19</v>
      </c>
      <c r="N104" s="35">
        <v>20</v>
      </c>
    </row>
    <row r="105" spans="1:14" x14ac:dyDescent="0.3">
      <c r="A105" s="4" t="s">
        <v>240</v>
      </c>
      <c r="B105" s="4" t="str">
        <f>TEXT(Table1[[#This Row],[Date]],"mmmm")</f>
        <v>December</v>
      </c>
      <c r="C105" s="14">
        <v>46375</v>
      </c>
      <c r="D105" s="2" t="s">
        <v>241</v>
      </c>
      <c r="E105" s="2" t="s">
        <v>22</v>
      </c>
      <c r="F105" s="2" t="s">
        <v>71</v>
      </c>
      <c r="G105" s="2" t="s">
        <v>17</v>
      </c>
      <c r="H105" s="2">
        <v>5</v>
      </c>
      <c r="I105" s="31">
        <v>499</v>
      </c>
      <c r="J105" s="3">
        <v>0.2</v>
      </c>
      <c r="K105" s="31">
        <v>1996</v>
      </c>
      <c r="L105" s="2" t="s">
        <v>29</v>
      </c>
      <c r="M105" s="2" t="s">
        <v>19</v>
      </c>
      <c r="N105" s="35">
        <v>578</v>
      </c>
    </row>
    <row r="106" spans="1:14" x14ac:dyDescent="0.3">
      <c r="A106" s="4" t="s">
        <v>242</v>
      </c>
      <c r="B106" s="4" t="str">
        <f>TEXT(Table1[[#This Row],[Date]],"mmmm")</f>
        <v>March</v>
      </c>
      <c r="C106" s="14">
        <v>46092</v>
      </c>
      <c r="D106" s="2" t="s">
        <v>243</v>
      </c>
      <c r="E106" s="2" t="s">
        <v>15</v>
      </c>
      <c r="F106" s="2" t="s">
        <v>53</v>
      </c>
      <c r="G106" s="2" t="s">
        <v>17</v>
      </c>
      <c r="H106" s="2">
        <v>1</v>
      </c>
      <c r="I106" s="31">
        <v>147</v>
      </c>
      <c r="J106" s="3">
        <v>0.13</v>
      </c>
      <c r="K106" s="31">
        <v>127</v>
      </c>
      <c r="L106" s="2" t="s">
        <v>37</v>
      </c>
      <c r="M106" s="2" t="s">
        <v>54</v>
      </c>
      <c r="N106" s="35">
        <v>15</v>
      </c>
    </row>
    <row r="107" spans="1:14" x14ac:dyDescent="0.3">
      <c r="A107" s="4" t="s">
        <v>244</v>
      </c>
      <c r="B107" s="4" t="str">
        <f>TEXT(Table1[[#This Row],[Date]],"mmmm")</f>
        <v>September</v>
      </c>
      <c r="C107" s="14">
        <v>46272</v>
      </c>
      <c r="D107" s="2" t="s">
        <v>213</v>
      </c>
      <c r="E107" s="2" t="s">
        <v>27</v>
      </c>
      <c r="F107" s="2" t="s">
        <v>33</v>
      </c>
      <c r="G107" s="2" t="s">
        <v>17</v>
      </c>
      <c r="H107" s="2">
        <v>4</v>
      </c>
      <c r="I107" s="31">
        <v>507</v>
      </c>
      <c r="J107" s="3">
        <v>7.0000000000000007E-2</v>
      </c>
      <c r="K107" s="31">
        <v>1886</v>
      </c>
      <c r="L107" s="2" t="s">
        <v>18</v>
      </c>
      <c r="M107" s="2" t="s">
        <v>30</v>
      </c>
      <c r="N107" s="35">
        <v>528</v>
      </c>
    </row>
    <row r="108" spans="1:14" x14ac:dyDescent="0.3">
      <c r="A108" s="4" t="s">
        <v>245</v>
      </c>
      <c r="B108" s="4" t="str">
        <f>TEXT(Table1[[#This Row],[Date]],"mmmm")</f>
        <v>December</v>
      </c>
      <c r="C108" s="14">
        <v>46375</v>
      </c>
      <c r="D108" s="2" t="s">
        <v>246</v>
      </c>
      <c r="E108" s="2" t="s">
        <v>22</v>
      </c>
      <c r="F108" s="2" t="s">
        <v>28</v>
      </c>
      <c r="G108" s="2" t="s">
        <v>17</v>
      </c>
      <c r="H108" s="2">
        <v>2</v>
      </c>
      <c r="I108" s="31">
        <v>199</v>
      </c>
      <c r="J108" s="3">
        <v>0.16</v>
      </c>
      <c r="K108" s="31">
        <v>334</v>
      </c>
      <c r="L108" s="2" t="s">
        <v>29</v>
      </c>
      <c r="M108" s="2" t="s">
        <v>30</v>
      </c>
      <c r="N108" s="35">
        <v>66</v>
      </c>
    </row>
    <row r="109" spans="1:14" x14ac:dyDescent="0.3">
      <c r="A109" s="4" t="s">
        <v>247</v>
      </c>
      <c r="B109" s="4" t="str">
        <f>TEXT(Table1[[#This Row],[Date]],"mmmm")</f>
        <v>March</v>
      </c>
      <c r="C109" s="14">
        <v>46098</v>
      </c>
      <c r="D109" s="2" t="s">
        <v>248</v>
      </c>
      <c r="E109" s="2" t="s">
        <v>70</v>
      </c>
      <c r="F109" s="2" t="s">
        <v>67</v>
      </c>
      <c r="G109" s="2" t="s">
        <v>17</v>
      </c>
      <c r="H109" s="2">
        <v>2</v>
      </c>
      <c r="I109" s="31">
        <v>651</v>
      </c>
      <c r="J109" s="3">
        <v>0.03</v>
      </c>
      <c r="K109" s="31">
        <v>1262</v>
      </c>
      <c r="L109" s="2" t="s">
        <v>29</v>
      </c>
      <c r="M109" s="2" t="s">
        <v>19</v>
      </c>
      <c r="N109" s="35">
        <v>416</v>
      </c>
    </row>
    <row r="110" spans="1:14" x14ac:dyDescent="0.3">
      <c r="A110" s="4" t="s">
        <v>249</v>
      </c>
      <c r="B110" s="4" t="str">
        <f>TEXT(Table1[[#This Row],[Date]],"mmmm")</f>
        <v>December</v>
      </c>
      <c r="C110" s="14">
        <v>46383</v>
      </c>
      <c r="D110" s="2" t="s">
        <v>250</v>
      </c>
      <c r="E110" s="2" t="s">
        <v>70</v>
      </c>
      <c r="F110" s="2" t="s">
        <v>33</v>
      </c>
      <c r="G110" s="2" t="s">
        <v>17</v>
      </c>
      <c r="H110" s="2">
        <v>1</v>
      </c>
      <c r="I110" s="31">
        <v>606</v>
      </c>
      <c r="J110" s="3">
        <v>0.11</v>
      </c>
      <c r="K110" s="31">
        <v>539</v>
      </c>
      <c r="L110" s="2" t="s">
        <v>29</v>
      </c>
      <c r="M110" s="2" t="s">
        <v>19</v>
      </c>
      <c r="N110" s="35">
        <v>118</v>
      </c>
    </row>
    <row r="111" spans="1:14" x14ac:dyDescent="0.3">
      <c r="A111" s="4" t="s">
        <v>251</v>
      </c>
      <c r="B111" s="4" t="str">
        <f>TEXT(Table1[[#This Row],[Date]],"mmmm")</f>
        <v>May</v>
      </c>
      <c r="C111" s="14">
        <v>46162</v>
      </c>
      <c r="D111" s="2" t="s">
        <v>252</v>
      </c>
      <c r="E111" s="2" t="s">
        <v>70</v>
      </c>
      <c r="F111" s="2" t="s">
        <v>53</v>
      </c>
      <c r="G111" s="2" t="s">
        <v>17</v>
      </c>
      <c r="H111" s="2">
        <v>4</v>
      </c>
      <c r="I111" s="31">
        <v>444</v>
      </c>
      <c r="J111" s="3">
        <v>0.12</v>
      </c>
      <c r="K111" s="31">
        <v>1562</v>
      </c>
      <c r="L111" s="2" t="s">
        <v>18</v>
      </c>
      <c r="M111" s="2" t="s">
        <v>30</v>
      </c>
      <c r="N111" s="35">
        <v>515</v>
      </c>
    </row>
    <row r="112" spans="1:14" x14ac:dyDescent="0.3">
      <c r="A112" s="4" t="s">
        <v>253</v>
      </c>
      <c r="B112" s="4" t="str">
        <f>TEXT(Table1[[#This Row],[Date]],"mmmm")</f>
        <v>May</v>
      </c>
      <c r="C112" s="14">
        <v>46163</v>
      </c>
      <c r="D112" s="2" t="s">
        <v>254</v>
      </c>
      <c r="E112" s="2" t="s">
        <v>70</v>
      </c>
      <c r="F112" s="2" t="s">
        <v>67</v>
      </c>
      <c r="G112" s="2" t="s">
        <v>17</v>
      </c>
      <c r="H112" s="2">
        <v>4</v>
      </c>
      <c r="I112" s="31">
        <v>462</v>
      </c>
      <c r="J112" s="3">
        <v>0.2</v>
      </c>
      <c r="K112" s="31">
        <v>1478</v>
      </c>
      <c r="L112" s="2" t="s">
        <v>29</v>
      </c>
      <c r="M112" s="2" t="s">
        <v>54</v>
      </c>
      <c r="N112" s="35">
        <v>399</v>
      </c>
    </row>
    <row r="113" spans="1:14" x14ac:dyDescent="0.3">
      <c r="A113" s="4" t="s">
        <v>255</v>
      </c>
      <c r="B113" s="4" t="str">
        <f>TEXT(Table1[[#This Row],[Date]],"mmmm")</f>
        <v>October</v>
      </c>
      <c r="C113" s="14">
        <v>46321</v>
      </c>
      <c r="D113" s="2" t="s">
        <v>256</v>
      </c>
      <c r="E113" s="2" t="s">
        <v>27</v>
      </c>
      <c r="F113" s="2" t="s">
        <v>16</v>
      </c>
      <c r="G113" s="2" t="s">
        <v>17</v>
      </c>
      <c r="H113" s="2">
        <v>2</v>
      </c>
      <c r="I113" s="31">
        <v>142</v>
      </c>
      <c r="J113" s="3">
        <v>0</v>
      </c>
      <c r="K113" s="31">
        <v>284</v>
      </c>
      <c r="L113" s="2" t="s">
        <v>24</v>
      </c>
      <c r="M113" s="2" t="s">
        <v>19</v>
      </c>
      <c r="N113" s="35">
        <v>36</v>
      </c>
    </row>
    <row r="114" spans="1:14" x14ac:dyDescent="0.3">
      <c r="A114" s="4" t="s">
        <v>257</v>
      </c>
      <c r="B114" s="4" t="str">
        <f>TEXT(Table1[[#This Row],[Date]],"mmmm")</f>
        <v>April</v>
      </c>
      <c r="C114" s="14">
        <v>46128</v>
      </c>
      <c r="D114" s="2" t="s">
        <v>258</v>
      </c>
      <c r="E114" s="2" t="s">
        <v>27</v>
      </c>
      <c r="F114" s="2" t="s">
        <v>33</v>
      </c>
      <c r="G114" s="2" t="s">
        <v>17</v>
      </c>
      <c r="H114" s="2">
        <v>5</v>
      </c>
      <c r="I114" s="31">
        <v>283</v>
      </c>
      <c r="J114" s="3">
        <v>0.08</v>
      </c>
      <c r="K114" s="31">
        <v>1301</v>
      </c>
      <c r="L114" s="2" t="s">
        <v>18</v>
      </c>
      <c r="M114" s="2" t="s">
        <v>19</v>
      </c>
      <c r="N114" s="35">
        <v>299</v>
      </c>
    </row>
    <row r="115" spans="1:14" x14ac:dyDescent="0.3">
      <c r="A115" s="4" t="s">
        <v>259</v>
      </c>
      <c r="B115" s="4" t="str">
        <f>TEXT(Table1[[#This Row],[Date]],"mmmm")</f>
        <v>July</v>
      </c>
      <c r="C115" s="14">
        <v>46224</v>
      </c>
      <c r="D115" s="2" t="s">
        <v>260</v>
      </c>
      <c r="E115" s="2" t="s">
        <v>40</v>
      </c>
      <c r="F115" s="2" t="s">
        <v>53</v>
      </c>
      <c r="G115" s="2" t="s">
        <v>17</v>
      </c>
      <c r="H115" s="2">
        <v>4</v>
      </c>
      <c r="I115" s="31">
        <v>507</v>
      </c>
      <c r="J115" s="3">
        <v>0.1</v>
      </c>
      <c r="K115" s="31">
        <v>1825</v>
      </c>
      <c r="L115" s="2" t="s">
        <v>24</v>
      </c>
      <c r="M115" s="2" t="s">
        <v>54</v>
      </c>
      <c r="N115" s="35">
        <v>346</v>
      </c>
    </row>
    <row r="116" spans="1:14" x14ac:dyDescent="0.3">
      <c r="A116" s="4" t="s">
        <v>261</v>
      </c>
      <c r="B116" s="4" t="str">
        <f>TEXT(Table1[[#This Row],[Date]],"mmmm")</f>
        <v>June</v>
      </c>
      <c r="C116" s="14">
        <v>46185</v>
      </c>
      <c r="D116" s="2" t="s">
        <v>262</v>
      </c>
      <c r="E116" s="2" t="s">
        <v>40</v>
      </c>
      <c r="F116" s="2" t="s">
        <v>33</v>
      </c>
      <c r="G116" s="2" t="s">
        <v>17</v>
      </c>
      <c r="H116" s="2">
        <v>2</v>
      </c>
      <c r="I116" s="31">
        <v>545</v>
      </c>
      <c r="J116" s="3">
        <v>0.11</v>
      </c>
      <c r="K116" s="31">
        <v>970</v>
      </c>
      <c r="L116" s="2" t="s">
        <v>18</v>
      </c>
      <c r="M116" s="2" t="s">
        <v>30</v>
      </c>
      <c r="N116" s="35">
        <v>155</v>
      </c>
    </row>
    <row r="117" spans="1:14" x14ac:dyDescent="0.3">
      <c r="A117" s="4" t="s">
        <v>263</v>
      </c>
      <c r="B117" s="4" t="str">
        <f>TEXT(Table1[[#This Row],[Date]],"mmmm")</f>
        <v>February</v>
      </c>
      <c r="C117" s="14">
        <v>46058</v>
      </c>
      <c r="D117" s="2" t="s">
        <v>264</v>
      </c>
      <c r="E117" s="2" t="s">
        <v>22</v>
      </c>
      <c r="F117" s="2" t="s">
        <v>41</v>
      </c>
      <c r="G117" s="2" t="s">
        <v>17</v>
      </c>
      <c r="H117" s="2">
        <v>2</v>
      </c>
      <c r="I117" s="31">
        <v>648</v>
      </c>
      <c r="J117" s="3">
        <v>0.1</v>
      </c>
      <c r="K117" s="31">
        <v>1166</v>
      </c>
      <c r="L117" s="2" t="s">
        <v>37</v>
      </c>
      <c r="M117" s="2" t="s">
        <v>30</v>
      </c>
      <c r="N117" s="35">
        <v>396</v>
      </c>
    </row>
    <row r="118" spans="1:14" x14ac:dyDescent="0.3">
      <c r="A118" s="4" t="s">
        <v>265</v>
      </c>
      <c r="B118" s="4" t="str">
        <f>TEXT(Table1[[#This Row],[Date]],"mmmm")</f>
        <v>October</v>
      </c>
      <c r="C118" s="14">
        <v>46303</v>
      </c>
      <c r="D118" s="2" t="s">
        <v>266</v>
      </c>
      <c r="E118" s="2" t="s">
        <v>22</v>
      </c>
      <c r="F118" s="2" t="s">
        <v>71</v>
      </c>
      <c r="G118" s="2" t="s">
        <v>17</v>
      </c>
      <c r="H118" s="2">
        <v>5</v>
      </c>
      <c r="I118" s="31">
        <v>415</v>
      </c>
      <c r="J118" s="3">
        <v>0.15</v>
      </c>
      <c r="K118" s="31">
        <v>1763</v>
      </c>
      <c r="L118" s="2" t="s">
        <v>37</v>
      </c>
      <c r="M118" s="2" t="s">
        <v>30</v>
      </c>
      <c r="N118" s="35">
        <v>440</v>
      </c>
    </row>
    <row r="119" spans="1:14" x14ac:dyDescent="0.3">
      <c r="A119" s="4" t="s">
        <v>267</v>
      </c>
      <c r="B119" s="4" t="str">
        <f>TEXT(Table1[[#This Row],[Date]],"mmmm")</f>
        <v>October</v>
      </c>
      <c r="C119" s="14">
        <v>46301</v>
      </c>
      <c r="D119" s="2" t="s">
        <v>268</v>
      </c>
      <c r="E119" s="2" t="s">
        <v>27</v>
      </c>
      <c r="F119" s="2" t="s">
        <v>16</v>
      </c>
      <c r="G119" s="2" t="s">
        <v>17</v>
      </c>
      <c r="H119" s="2">
        <v>2</v>
      </c>
      <c r="I119" s="31">
        <v>579</v>
      </c>
      <c r="J119" s="3">
        <v>0.01</v>
      </c>
      <c r="K119" s="31">
        <v>1146</v>
      </c>
      <c r="L119" s="2" t="s">
        <v>24</v>
      </c>
      <c r="M119" s="2" t="s">
        <v>54</v>
      </c>
      <c r="N119" s="35">
        <v>114</v>
      </c>
    </row>
    <row r="120" spans="1:14" x14ac:dyDescent="0.3">
      <c r="A120" s="4" t="s">
        <v>269</v>
      </c>
      <c r="B120" s="4" t="str">
        <f>TEXT(Table1[[#This Row],[Date]],"mmmm")</f>
        <v>May</v>
      </c>
      <c r="C120" s="14">
        <v>46143</v>
      </c>
      <c r="D120" s="2" t="s">
        <v>270</v>
      </c>
      <c r="E120" s="2" t="s">
        <v>70</v>
      </c>
      <c r="F120" s="2" t="s">
        <v>74</v>
      </c>
      <c r="G120" s="2" t="s">
        <v>17</v>
      </c>
      <c r="H120" s="2">
        <v>2</v>
      </c>
      <c r="I120" s="31">
        <v>372</v>
      </c>
      <c r="J120" s="3">
        <v>0.11</v>
      </c>
      <c r="K120" s="31">
        <v>662</v>
      </c>
      <c r="L120" s="2" t="s">
        <v>24</v>
      </c>
      <c r="M120" s="2" t="s">
        <v>30</v>
      </c>
      <c r="N120" s="35">
        <v>66</v>
      </c>
    </row>
    <row r="121" spans="1:14" x14ac:dyDescent="0.3">
      <c r="A121" s="4" t="s">
        <v>271</v>
      </c>
      <c r="B121" s="4" t="str">
        <f>TEXT(Table1[[#This Row],[Date]],"mmmm")</f>
        <v>September</v>
      </c>
      <c r="C121" s="14">
        <v>46288</v>
      </c>
      <c r="D121" s="2" t="s">
        <v>272</v>
      </c>
      <c r="E121" s="2" t="s">
        <v>15</v>
      </c>
      <c r="F121" s="2" t="s">
        <v>28</v>
      </c>
      <c r="G121" s="2" t="s">
        <v>17</v>
      </c>
      <c r="H121" s="2">
        <v>2</v>
      </c>
      <c r="I121" s="31">
        <v>393</v>
      </c>
      <c r="J121" s="3">
        <v>0.2</v>
      </c>
      <c r="K121" s="31">
        <v>628</v>
      </c>
      <c r="L121" s="2" t="s">
        <v>37</v>
      </c>
      <c r="M121" s="2" t="s">
        <v>19</v>
      </c>
      <c r="N121" s="35">
        <v>113</v>
      </c>
    </row>
    <row r="122" spans="1:14" x14ac:dyDescent="0.3">
      <c r="A122" s="4" t="s">
        <v>273</v>
      </c>
      <c r="B122" s="4" t="str">
        <f>TEXT(Table1[[#This Row],[Date]],"mmmm")</f>
        <v>December</v>
      </c>
      <c r="C122" s="14">
        <v>46383</v>
      </c>
      <c r="D122" s="2" t="s">
        <v>274</v>
      </c>
      <c r="E122" s="2" t="s">
        <v>15</v>
      </c>
      <c r="F122" s="2" t="s">
        <v>23</v>
      </c>
      <c r="G122" s="2" t="s">
        <v>17</v>
      </c>
      <c r="H122" s="2">
        <v>1</v>
      </c>
      <c r="I122" s="31">
        <v>123</v>
      </c>
      <c r="J122" s="3">
        <v>0.1</v>
      </c>
      <c r="K122" s="31">
        <v>110</v>
      </c>
      <c r="L122" s="2" t="s">
        <v>37</v>
      </c>
      <c r="M122" s="2" t="s">
        <v>30</v>
      </c>
      <c r="N122" s="35">
        <v>19</v>
      </c>
    </row>
    <row r="123" spans="1:14" x14ac:dyDescent="0.3">
      <c r="A123" s="4" t="s">
        <v>275</v>
      </c>
      <c r="B123" s="4" t="str">
        <f>TEXT(Table1[[#This Row],[Date]],"mmmm")</f>
        <v>June</v>
      </c>
      <c r="C123" s="14">
        <v>46193</v>
      </c>
      <c r="D123" s="2" t="s">
        <v>276</v>
      </c>
      <c r="E123" s="2" t="s">
        <v>27</v>
      </c>
      <c r="F123" s="2" t="s">
        <v>67</v>
      </c>
      <c r="G123" s="2" t="s">
        <v>17</v>
      </c>
      <c r="H123" s="2">
        <v>5</v>
      </c>
      <c r="I123" s="31">
        <v>609</v>
      </c>
      <c r="J123" s="3">
        <v>0</v>
      </c>
      <c r="K123" s="31">
        <v>3045</v>
      </c>
      <c r="L123" s="2" t="s">
        <v>29</v>
      </c>
      <c r="M123" s="2" t="s">
        <v>54</v>
      </c>
      <c r="N123" s="35">
        <v>609</v>
      </c>
    </row>
    <row r="124" spans="1:14" x14ac:dyDescent="0.3">
      <c r="A124" s="4" t="s">
        <v>277</v>
      </c>
      <c r="B124" s="4" t="str">
        <f>TEXT(Table1[[#This Row],[Date]],"mmmm")</f>
        <v>December</v>
      </c>
      <c r="C124" s="14">
        <v>46378</v>
      </c>
      <c r="D124" s="2" t="s">
        <v>278</v>
      </c>
      <c r="E124" s="2" t="s">
        <v>22</v>
      </c>
      <c r="F124" s="2" t="s">
        <v>36</v>
      </c>
      <c r="G124" s="2" t="s">
        <v>17</v>
      </c>
      <c r="H124" s="2">
        <v>3</v>
      </c>
      <c r="I124" s="31">
        <v>543</v>
      </c>
      <c r="J124" s="3">
        <v>0.15</v>
      </c>
      <c r="K124" s="31">
        <v>1384</v>
      </c>
      <c r="L124" s="2" t="s">
        <v>24</v>
      </c>
      <c r="M124" s="2" t="s">
        <v>54</v>
      </c>
      <c r="N124" s="35">
        <v>166</v>
      </c>
    </row>
    <row r="125" spans="1:14" x14ac:dyDescent="0.3">
      <c r="A125" s="4" t="s">
        <v>279</v>
      </c>
      <c r="B125" s="4" t="str">
        <f>TEXT(Table1[[#This Row],[Date]],"mmmm")</f>
        <v>November</v>
      </c>
      <c r="C125" s="14">
        <v>46331</v>
      </c>
      <c r="D125" s="2" t="s">
        <v>280</v>
      </c>
      <c r="E125" s="2" t="s">
        <v>27</v>
      </c>
      <c r="F125" s="2" t="s">
        <v>67</v>
      </c>
      <c r="G125" s="2" t="s">
        <v>17</v>
      </c>
      <c r="H125" s="2">
        <v>5</v>
      </c>
      <c r="I125" s="31">
        <v>358</v>
      </c>
      <c r="J125" s="3">
        <v>0.19</v>
      </c>
      <c r="K125" s="31">
        <v>1449</v>
      </c>
      <c r="L125" s="2" t="s">
        <v>24</v>
      </c>
      <c r="M125" s="2" t="s">
        <v>54</v>
      </c>
      <c r="N125" s="35">
        <v>173</v>
      </c>
    </row>
    <row r="126" spans="1:14" x14ac:dyDescent="0.3">
      <c r="A126" s="4" t="s">
        <v>281</v>
      </c>
      <c r="B126" s="4" t="str">
        <f>TEXT(Table1[[#This Row],[Date]],"mmmm")</f>
        <v>June</v>
      </c>
      <c r="C126" s="14">
        <v>46185</v>
      </c>
      <c r="D126" s="2" t="s">
        <v>282</v>
      </c>
      <c r="E126" s="2" t="s">
        <v>40</v>
      </c>
      <c r="F126" s="2" t="s">
        <v>53</v>
      </c>
      <c r="G126" s="2" t="s">
        <v>17</v>
      </c>
      <c r="H126" s="2">
        <v>4</v>
      </c>
      <c r="I126" s="31">
        <v>164</v>
      </c>
      <c r="J126" s="3">
        <v>0.05</v>
      </c>
      <c r="K126" s="31">
        <v>623</v>
      </c>
      <c r="L126" s="2" t="s">
        <v>37</v>
      </c>
      <c r="M126" s="2" t="s">
        <v>30</v>
      </c>
      <c r="N126" s="35">
        <v>118</v>
      </c>
    </row>
    <row r="127" spans="1:14" x14ac:dyDescent="0.3">
      <c r="A127" s="4" t="s">
        <v>283</v>
      </c>
      <c r="B127" s="4" t="str">
        <f>TEXT(Table1[[#This Row],[Date]],"mmmm")</f>
        <v>March</v>
      </c>
      <c r="C127" s="14">
        <v>46107</v>
      </c>
      <c r="D127" s="2" t="s">
        <v>284</v>
      </c>
      <c r="E127" s="2" t="s">
        <v>27</v>
      </c>
      <c r="F127" s="2" t="s">
        <v>28</v>
      </c>
      <c r="G127" s="2" t="s">
        <v>17</v>
      </c>
      <c r="H127" s="2">
        <v>2</v>
      </c>
      <c r="I127" s="31">
        <v>279</v>
      </c>
      <c r="J127" s="3">
        <v>0.08</v>
      </c>
      <c r="K127" s="31">
        <v>513</v>
      </c>
      <c r="L127" s="2" t="s">
        <v>37</v>
      </c>
      <c r="M127" s="2" t="s">
        <v>19</v>
      </c>
      <c r="N127" s="35">
        <v>128</v>
      </c>
    </row>
    <row r="128" spans="1:14" x14ac:dyDescent="0.3">
      <c r="A128" s="4" t="s">
        <v>285</v>
      </c>
      <c r="B128" s="4" t="str">
        <f>TEXT(Table1[[#This Row],[Date]],"mmmm")</f>
        <v>April</v>
      </c>
      <c r="C128" s="14">
        <v>46129</v>
      </c>
      <c r="D128" s="2" t="s">
        <v>286</v>
      </c>
      <c r="E128" s="2" t="s">
        <v>22</v>
      </c>
      <c r="F128" s="2" t="s">
        <v>16</v>
      </c>
      <c r="G128" s="2" t="s">
        <v>17</v>
      </c>
      <c r="H128" s="2">
        <v>2</v>
      </c>
      <c r="I128" s="31">
        <v>157</v>
      </c>
      <c r="J128" s="3">
        <v>0.03</v>
      </c>
      <c r="K128" s="31">
        <v>304</v>
      </c>
      <c r="L128" s="2" t="s">
        <v>37</v>
      </c>
      <c r="M128" s="2" t="s">
        <v>30</v>
      </c>
      <c r="N128" s="35">
        <v>30</v>
      </c>
    </row>
    <row r="129" spans="1:14" x14ac:dyDescent="0.3">
      <c r="A129" s="4" t="s">
        <v>287</v>
      </c>
      <c r="B129" s="4" t="str">
        <f>TEXT(Table1[[#This Row],[Date]],"mmmm")</f>
        <v>September</v>
      </c>
      <c r="C129" s="14">
        <v>46290</v>
      </c>
      <c r="D129" s="2" t="s">
        <v>288</v>
      </c>
      <c r="E129" s="2" t="s">
        <v>22</v>
      </c>
      <c r="F129" s="2" t="s">
        <v>48</v>
      </c>
      <c r="G129" s="2" t="s">
        <v>17</v>
      </c>
      <c r="H129" s="2">
        <v>2</v>
      </c>
      <c r="I129" s="31">
        <v>619</v>
      </c>
      <c r="J129" s="3">
        <v>0.14000000000000001</v>
      </c>
      <c r="K129" s="31">
        <v>1064</v>
      </c>
      <c r="L129" s="2" t="s">
        <v>24</v>
      </c>
      <c r="M129" s="2" t="s">
        <v>30</v>
      </c>
      <c r="N129" s="35">
        <v>351</v>
      </c>
    </row>
    <row r="130" spans="1:14" x14ac:dyDescent="0.3">
      <c r="A130" s="4" t="s">
        <v>289</v>
      </c>
      <c r="B130" s="4" t="str">
        <f>TEXT(Table1[[#This Row],[Date]],"mmmm")</f>
        <v>October</v>
      </c>
      <c r="C130" s="14">
        <v>46306</v>
      </c>
      <c r="D130" s="2" t="s">
        <v>290</v>
      </c>
      <c r="E130" s="2" t="s">
        <v>40</v>
      </c>
      <c r="F130" s="2" t="s">
        <v>36</v>
      </c>
      <c r="G130" s="2" t="s">
        <v>17</v>
      </c>
      <c r="H130" s="2">
        <v>4</v>
      </c>
      <c r="I130" s="31">
        <v>410</v>
      </c>
      <c r="J130" s="3">
        <v>0.1</v>
      </c>
      <c r="K130" s="31">
        <v>1476</v>
      </c>
      <c r="L130" s="2" t="s">
        <v>29</v>
      </c>
      <c r="M130" s="2" t="s">
        <v>30</v>
      </c>
      <c r="N130" s="35">
        <v>162</v>
      </c>
    </row>
    <row r="131" spans="1:14" x14ac:dyDescent="0.3">
      <c r="A131" s="4" t="s">
        <v>291</v>
      </c>
      <c r="B131" s="4" t="str">
        <f>TEXT(Table1[[#This Row],[Date]],"mmmm")</f>
        <v>July</v>
      </c>
      <c r="C131" s="14">
        <v>46222</v>
      </c>
      <c r="D131" s="2" t="s">
        <v>292</v>
      </c>
      <c r="E131" s="2" t="s">
        <v>15</v>
      </c>
      <c r="F131" s="2" t="s">
        <v>16</v>
      </c>
      <c r="G131" s="2" t="s">
        <v>17</v>
      </c>
      <c r="H131" s="2">
        <v>2</v>
      </c>
      <c r="I131" s="31">
        <v>669</v>
      </c>
      <c r="J131" s="3">
        <v>0.05</v>
      </c>
      <c r="K131" s="31">
        <v>1271</v>
      </c>
      <c r="L131" s="2" t="s">
        <v>18</v>
      </c>
      <c r="M131" s="2" t="s">
        <v>30</v>
      </c>
      <c r="N131" s="35">
        <v>177</v>
      </c>
    </row>
    <row r="132" spans="1:14" x14ac:dyDescent="0.3">
      <c r="A132" s="4" t="s">
        <v>293</v>
      </c>
      <c r="B132" s="4" t="str">
        <f>TEXT(Table1[[#This Row],[Date]],"mmmm")</f>
        <v>April</v>
      </c>
      <c r="C132" s="14">
        <v>46139</v>
      </c>
      <c r="D132" s="2" t="s">
        <v>294</v>
      </c>
      <c r="E132" s="2" t="s">
        <v>27</v>
      </c>
      <c r="F132" s="2" t="s">
        <v>53</v>
      </c>
      <c r="G132" s="2" t="s">
        <v>17</v>
      </c>
      <c r="H132" s="2">
        <v>2</v>
      </c>
      <c r="I132" s="31">
        <v>293</v>
      </c>
      <c r="J132" s="3">
        <v>0.13</v>
      </c>
      <c r="K132" s="31">
        <v>509</v>
      </c>
      <c r="L132" s="2" t="s">
        <v>29</v>
      </c>
      <c r="M132" s="2" t="s">
        <v>30</v>
      </c>
      <c r="N132" s="35">
        <v>157</v>
      </c>
    </row>
    <row r="133" spans="1:14" x14ac:dyDescent="0.3">
      <c r="A133" s="4" t="s">
        <v>295</v>
      </c>
      <c r="B133" s="4" t="str">
        <f>TEXT(Table1[[#This Row],[Date]],"mmmm")</f>
        <v>February</v>
      </c>
      <c r="C133" s="14">
        <v>46072</v>
      </c>
      <c r="D133" s="2" t="s">
        <v>296</v>
      </c>
      <c r="E133" s="2" t="s">
        <v>15</v>
      </c>
      <c r="F133" s="2" t="s">
        <v>36</v>
      </c>
      <c r="G133" s="2" t="s">
        <v>17</v>
      </c>
      <c r="H133" s="2">
        <v>3</v>
      </c>
      <c r="I133" s="31">
        <v>650</v>
      </c>
      <c r="J133" s="3">
        <v>0.08</v>
      </c>
      <c r="K133" s="31">
        <v>1794</v>
      </c>
      <c r="L133" s="2" t="s">
        <v>18</v>
      </c>
      <c r="M133" s="2" t="s">
        <v>54</v>
      </c>
      <c r="N133" s="35">
        <v>251</v>
      </c>
    </row>
    <row r="134" spans="1:14" x14ac:dyDescent="0.3">
      <c r="A134" s="4" t="s">
        <v>297</v>
      </c>
      <c r="B134" s="4" t="str">
        <f>TEXT(Table1[[#This Row],[Date]],"mmmm")</f>
        <v>January</v>
      </c>
      <c r="C134" s="14">
        <v>46025</v>
      </c>
      <c r="D134" s="2" t="s">
        <v>298</v>
      </c>
      <c r="E134" s="2" t="s">
        <v>22</v>
      </c>
      <c r="F134" s="2" t="s">
        <v>41</v>
      </c>
      <c r="G134" s="2" t="s">
        <v>17</v>
      </c>
      <c r="H134" s="2">
        <v>1</v>
      </c>
      <c r="I134" s="31">
        <v>169</v>
      </c>
      <c r="J134" s="3">
        <v>0.08</v>
      </c>
      <c r="K134" s="31">
        <v>155</v>
      </c>
      <c r="L134" s="2" t="s">
        <v>37</v>
      </c>
      <c r="M134" s="2" t="s">
        <v>30</v>
      </c>
      <c r="N134" s="35">
        <v>20</v>
      </c>
    </row>
    <row r="135" spans="1:14" x14ac:dyDescent="0.3">
      <c r="A135" s="4" t="s">
        <v>299</v>
      </c>
      <c r="B135" s="4" t="str">
        <f>TEXT(Table1[[#This Row],[Date]],"mmmm")</f>
        <v>November</v>
      </c>
      <c r="C135" s="14">
        <v>46341</v>
      </c>
      <c r="D135" s="2" t="s">
        <v>300</v>
      </c>
      <c r="E135" s="2" t="s">
        <v>40</v>
      </c>
      <c r="F135" s="2" t="s">
        <v>71</v>
      </c>
      <c r="G135" s="2" t="s">
        <v>17</v>
      </c>
      <c r="H135" s="2">
        <v>2</v>
      </c>
      <c r="I135" s="31">
        <v>102</v>
      </c>
      <c r="J135" s="3">
        <v>0.15</v>
      </c>
      <c r="K135" s="31">
        <v>173</v>
      </c>
      <c r="L135" s="2" t="s">
        <v>37</v>
      </c>
      <c r="M135" s="2" t="s">
        <v>54</v>
      </c>
      <c r="N135" s="35">
        <v>34</v>
      </c>
    </row>
    <row r="136" spans="1:14" x14ac:dyDescent="0.3">
      <c r="A136" s="4" t="s">
        <v>301</v>
      </c>
      <c r="B136" s="4" t="str">
        <f>TEXT(Table1[[#This Row],[Date]],"mmmm")</f>
        <v>October</v>
      </c>
      <c r="C136" s="14">
        <v>46311</v>
      </c>
      <c r="D136" s="2" t="s">
        <v>302</v>
      </c>
      <c r="E136" s="2" t="s">
        <v>27</v>
      </c>
      <c r="F136" s="2" t="s">
        <v>53</v>
      </c>
      <c r="G136" s="2" t="s">
        <v>17</v>
      </c>
      <c r="H136" s="2">
        <v>1</v>
      </c>
      <c r="I136" s="31">
        <v>644</v>
      </c>
      <c r="J136" s="3">
        <v>0.02</v>
      </c>
      <c r="K136" s="31">
        <v>631</v>
      </c>
      <c r="L136" s="2" t="s">
        <v>37</v>
      </c>
      <c r="M136" s="2" t="s">
        <v>54</v>
      </c>
      <c r="N136" s="35">
        <v>100</v>
      </c>
    </row>
    <row r="137" spans="1:14" x14ac:dyDescent="0.3">
      <c r="A137" s="4" t="s">
        <v>303</v>
      </c>
      <c r="B137" s="4" t="str">
        <f>TEXT(Table1[[#This Row],[Date]],"mmmm")</f>
        <v>January</v>
      </c>
      <c r="C137" s="14">
        <v>46045</v>
      </c>
      <c r="D137" s="2" t="s">
        <v>304</v>
      </c>
      <c r="E137" s="2" t="s">
        <v>27</v>
      </c>
      <c r="F137" s="2" t="s">
        <v>74</v>
      </c>
      <c r="G137" s="2" t="s">
        <v>17</v>
      </c>
      <c r="H137" s="2">
        <v>1</v>
      </c>
      <c r="I137" s="31">
        <v>245</v>
      </c>
      <c r="J137" s="3">
        <v>0.1</v>
      </c>
      <c r="K137" s="31">
        <v>220</v>
      </c>
      <c r="L137" s="2" t="s">
        <v>24</v>
      </c>
      <c r="M137" s="2" t="s">
        <v>30</v>
      </c>
      <c r="N137" s="35">
        <v>30</v>
      </c>
    </row>
    <row r="138" spans="1:14" x14ac:dyDescent="0.3">
      <c r="A138" s="4" t="s">
        <v>305</v>
      </c>
      <c r="B138" s="4" t="str">
        <f>TEXT(Table1[[#This Row],[Date]],"mmmm")</f>
        <v>September</v>
      </c>
      <c r="C138" s="14">
        <v>46286</v>
      </c>
      <c r="D138" s="2" t="s">
        <v>306</v>
      </c>
      <c r="E138" s="2" t="s">
        <v>22</v>
      </c>
      <c r="F138" s="2" t="s">
        <v>36</v>
      </c>
      <c r="G138" s="2" t="s">
        <v>17</v>
      </c>
      <c r="H138" s="2">
        <v>3</v>
      </c>
      <c r="I138" s="31">
        <v>681</v>
      </c>
      <c r="J138" s="3">
        <v>0.18</v>
      </c>
      <c r="K138" s="31">
        <v>1675</v>
      </c>
      <c r="L138" s="2" t="s">
        <v>24</v>
      </c>
      <c r="M138" s="2" t="s">
        <v>30</v>
      </c>
      <c r="N138" s="35">
        <v>452</v>
      </c>
    </row>
    <row r="139" spans="1:14" x14ac:dyDescent="0.3">
      <c r="A139" s="4" t="s">
        <v>307</v>
      </c>
      <c r="B139" s="4" t="str">
        <f>TEXT(Table1[[#This Row],[Date]],"mmmm")</f>
        <v>October</v>
      </c>
      <c r="C139" s="14">
        <v>46312</v>
      </c>
      <c r="D139" s="2" t="s">
        <v>308</v>
      </c>
      <c r="E139" s="2" t="s">
        <v>15</v>
      </c>
      <c r="F139" s="2" t="s">
        <v>48</v>
      </c>
      <c r="G139" s="2" t="s">
        <v>17</v>
      </c>
      <c r="H139" s="2">
        <v>4</v>
      </c>
      <c r="I139" s="31">
        <v>590</v>
      </c>
      <c r="J139" s="3">
        <v>0.1</v>
      </c>
      <c r="K139" s="31">
        <v>2124</v>
      </c>
      <c r="L139" s="2" t="s">
        <v>18</v>
      </c>
      <c r="M139" s="2" t="s">
        <v>54</v>
      </c>
      <c r="N139" s="35">
        <v>658</v>
      </c>
    </row>
    <row r="140" spans="1:14" x14ac:dyDescent="0.3">
      <c r="A140" s="4" t="s">
        <v>309</v>
      </c>
      <c r="B140" s="4" t="str">
        <f>TEXT(Table1[[#This Row],[Date]],"mmmm")</f>
        <v>October</v>
      </c>
      <c r="C140" s="14">
        <v>46320</v>
      </c>
      <c r="D140" s="2" t="s">
        <v>310</v>
      </c>
      <c r="E140" s="2" t="s">
        <v>15</v>
      </c>
      <c r="F140" s="2" t="s">
        <v>16</v>
      </c>
      <c r="G140" s="2" t="s">
        <v>17</v>
      </c>
      <c r="H140" s="2">
        <v>3</v>
      </c>
      <c r="I140" s="31">
        <v>673</v>
      </c>
      <c r="J140" s="3">
        <v>0.02</v>
      </c>
      <c r="K140" s="31">
        <v>1978</v>
      </c>
      <c r="L140" s="2" t="s">
        <v>29</v>
      </c>
      <c r="M140" s="2" t="s">
        <v>19</v>
      </c>
      <c r="N140" s="35">
        <v>514</v>
      </c>
    </row>
    <row r="141" spans="1:14" x14ac:dyDescent="0.3">
      <c r="A141" s="4" t="s">
        <v>311</v>
      </c>
      <c r="B141" s="4" t="str">
        <f>TEXT(Table1[[#This Row],[Date]],"mmmm")</f>
        <v>August</v>
      </c>
      <c r="C141" s="14">
        <v>46240</v>
      </c>
      <c r="D141" s="2" t="s">
        <v>312</v>
      </c>
      <c r="E141" s="2" t="s">
        <v>15</v>
      </c>
      <c r="F141" s="2" t="s">
        <v>28</v>
      </c>
      <c r="G141" s="2" t="s">
        <v>17</v>
      </c>
      <c r="H141" s="2">
        <v>3</v>
      </c>
      <c r="I141" s="31">
        <v>329</v>
      </c>
      <c r="J141" s="3">
        <v>0.18</v>
      </c>
      <c r="K141" s="31">
        <v>809</v>
      </c>
      <c r="L141" s="2" t="s">
        <v>29</v>
      </c>
      <c r="M141" s="2" t="s">
        <v>19</v>
      </c>
      <c r="N141" s="35">
        <v>186</v>
      </c>
    </row>
    <row r="142" spans="1:14" x14ac:dyDescent="0.3">
      <c r="A142" s="4" t="s">
        <v>313</v>
      </c>
      <c r="B142" s="4" t="str">
        <f>TEXT(Table1[[#This Row],[Date]],"mmmm")</f>
        <v>April</v>
      </c>
      <c r="C142" s="14">
        <v>46113</v>
      </c>
      <c r="D142" s="2" t="s">
        <v>314</v>
      </c>
      <c r="E142" s="2" t="s">
        <v>27</v>
      </c>
      <c r="F142" s="2" t="s">
        <v>33</v>
      </c>
      <c r="G142" s="2" t="s">
        <v>17</v>
      </c>
      <c r="H142" s="2">
        <v>4</v>
      </c>
      <c r="I142" s="31">
        <v>237</v>
      </c>
      <c r="J142" s="3">
        <v>0</v>
      </c>
      <c r="K142" s="31">
        <v>948</v>
      </c>
      <c r="L142" s="2" t="s">
        <v>18</v>
      </c>
      <c r="M142" s="2" t="s">
        <v>54</v>
      </c>
      <c r="N142" s="35">
        <v>151</v>
      </c>
    </row>
    <row r="143" spans="1:14" x14ac:dyDescent="0.3">
      <c r="A143" s="4" t="s">
        <v>315</v>
      </c>
      <c r="B143" s="4" t="str">
        <f>TEXT(Table1[[#This Row],[Date]],"mmmm")</f>
        <v>April</v>
      </c>
      <c r="C143" s="14">
        <v>46119</v>
      </c>
      <c r="D143" s="2" t="s">
        <v>316</v>
      </c>
      <c r="E143" s="2" t="s">
        <v>27</v>
      </c>
      <c r="F143" s="2" t="s">
        <v>36</v>
      </c>
      <c r="G143" s="2" t="s">
        <v>17</v>
      </c>
      <c r="H143" s="2">
        <v>2</v>
      </c>
      <c r="I143" s="31">
        <v>380</v>
      </c>
      <c r="J143" s="3">
        <v>0.16</v>
      </c>
      <c r="K143" s="31">
        <v>638</v>
      </c>
      <c r="L143" s="2" t="s">
        <v>37</v>
      </c>
      <c r="M143" s="2" t="s">
        <v>30</v>
      </c>
      <c r="N143" s="35">
        <v>140</v>
      </c>
    </row>
    <row r="144" spans="1:14" x14ac:dyDescent="0.3">
      <c r="A144" s="4" t="s">
        <v>317</v>
      </c>
      <c r="B144" s="4" t="str">
        <f>TEXT(Table1[[#This Row],[Date]],"mmmm")</f>
        <v>February</v>
      </c>
      <c r="C144" s="14">
        <v>46064</v>
      </c>
      <c r="D144" s="2" t="s">
        <v>318</v>
      </c>
      <c r="E144" s="2" t="s">
        <v>40</v>
      </c>
      <c r="F144" s="2" t="s">
        <v>41</v>
      </c>
      <c r="G144" s="2" t="s">
        <v>17</v>
      </c>
      <c r="H144" s="2">
        <v>1</v>
      </c>
      <c r="I144" s="31">
        <v>273</v>
      </c>
      <c r="J144" s="3">
        <v>0.06</v>
      </c>
      <c r="K144" s="31">
        <v>256</v>
      </c>
      <c r="L144" s="2" t="s">
        <v>24</v>
      </c>
      <c r="M144" s="2" t="s">
        <v>19</v>
      </c>
      <c r="N144" s="35">
        <v>66</v>
      </c>
    </row>
    <row r="145" spans="1:14" x14ac:dyDescent="0.3">
      <c r="A145" s="4" t="s">
        <v>319</v>
      </c>
      <c r="B145" s="4" t="str">
        <f>TEXT(Table1[[#This Row],[Date]],"mmmm")</f>
        <v>October</v>
      </c>
      <c r="C145" s="14">
        <v>46319</v>
      </c>
      <c r="D145" s="2" t="s">
        <v>320</v>
      </c>
      <c r="E145" s="2" t="s">
        <v>40</v>
      </c>
      <c r="F145" s="2" t="s">
        <v>28</v>
      </c>
      <c r="G145" s="2" t="s">
        <v>17</v>
      </c>
      <c r="H145" s="2">
        <v>4</v>
      </c>
      <c r="I145" s="31">
        <v>212</v>
      </c>
      <c r="J145" s="3">
        <v>0.16</v>
      </c>
      <c r="K145" s="31">
        <v>712</v>
      </c>
      <c r="L145" s="2" t="s">
        <v>24</v>
      </c>
      <c r="M145" s="2" t="s">
        <v>54</v>
      </c>
      <c r="N145" s="35">
        <v>178</v>
      </c>
    </row>
    <row r="146" spans="1:14" x14ac:dyDescent="0.3">
      <c r="A146" s="4" t="s">
        <v>321</v>
      </c>
      <c r="B146" s="4" t="str">
        <f>TEXT(Table1[[#This Row],[Date]],"mmmm")</f>
        <v>April</v>
      </c>
      <c r="C146" s="14">
        <v>46114</v>
      </c>
      <c r="D146" s="2" t="s">
        <v>322</v>
      </c>
      <c r="E146" s="2" t="s">
        <v>15</v>
      </c>
      <c r="F146" s="2" t="s">
        <v>41</v>
      </c>
      <c r="G146" s="2" t="s">
        <v>17</v>
      </c>
      <c r="H146" s="2">
        <v>4</v>
      </c>
      <c r="I146" s="31">
        <v>395</v>
      </c>
      <c r="J146" s="3">
        <v>0.05</v>
      </c>
      <c r="K146" s="31">
        <v>1501</v>
      </c>
      <c r="L146" s="2" t="s">
        <v>24</v>
      </c>
      <c r="M146" s="2" t="s">
        <v>19</v>
      </c>
      <c r="N146" s="35">
        <v>270</v>
      </c>
    </row>
    <row r="147" spans="1:14" x14ac:dyDescent="0.3">
      <c r="A147" s="4" t="s">
        <v>323</v>
      </c>
      <c r="B147" s="4" t="str">
        <f>TEXT(Table1[[#This Row],[Date]],"mmmm")</f>
        <v>July</v>
      </c>
      <c r="C147" s="14">
        <v>46207</v>
      </c>
      <c r="D147" s="2" t="s">
        <v>324</v>
      </c>
      <c r="E147" s="2" t="s">
        <v>40</v>
      </c>
      <c r="F147" s="2" t="s">
        <v>74</v>
      </c>
      <c r="G147" s="2" t="s">
        <v>17</v>
      </c>
      <c r="H147" s="2">
        <v>1</v>
      </c>
      <c r="I147" s="31">
        <v>575</v>
      </c>
      <c r="J147" s="3">
        <v>0.14000000000000001</v>
      </c>
      <c r="K147" s="31">
        <v>494</v>
      </c>
      <c r="L147" s="2" t="s">
        <v>37</v>
      </c>
      <c r="M147" s="2" t="s">
        <v>19</v>
      </c>
      <c r="N147" s="35">
        <v>148</v>
      </c>
    </row>
    <row r="148" spans="1:14" x14ac:dyDescent="0.3">
      <c r="A148" s="4" t="s">
        <v>325</v>
      </c>
      <c r="B148" s="4" t="str">
        <f>TEXT(Table1[[#This Row],[Date]],"mmmm")</f>
        <v>October</v>
      </c>
      <c r="C148" s="14">
        <v>46317</v>
      </c>
      <c r="D148" s="2" t="s">
        <v>326</v>
      </c>
      <c r="E148" s="2" t="s">
        <v>27</v>
      </c>
      <c r="F148" s="2" t="s">
        <v>16</v>
      </c>
      <c r="G148" s="2" t="s">
        <v>17</v>
      </c>
      <c r="H148" s="2">
        <v>2</v>
      </c>
      <c r="I148" s="31">
        <v>362</v>
      </c>
      <c r="J148" s="3">
        <v>0.06</v>
      </c>
      <c r="K148" s="31">
        <v>680</v>
      </c>
      <c r="L148" s="2" t="s">
        <v>24</v>
      </c>
      <c r="M148" s="2" t="s">
        <v>30</v>
      </c>
      <c r="N148" s="35">
        <v>210</v>
      </c>
    </row>
    <row r="149" spans="1:14" x14ac:dyDescent="0.3">
      <c r="A149" s="4" t="s">
        <v>327</v>
      </c>
      <c r="B149" s="4" t="str">
        <f>TEXT(Table1[[#This Row],[Date]],"mmmm")</f>
        <v>June</v>
      </c>
      <c r="C149" s="14">
        <v>46198</v>
      </c>
      <c r="D149" s="2" t="s">
        <v>328</v>
      </c>
      <c r="E149" s="2" t="s">
        <v>70</v>
      </c>
      <c r="F149" s="2" t="s">
        <v>67</v>
      </c>
      <c r="G149" s="2" t="s">
        <v>17</v>
      </c>
      <c r="H149" s="2">
        <v>2</v>
      </c>
      <c r="I149" s="31">
        <v>83</v>
      </c>
      <c r="J149" s="3">
        <v>0.2</v>
      </c>
      <c r="K149" s="31">
        <v>132</v>
      </c>
      <c r="L149" s="2" t="s">
        <v>24</v>
      </c>
      <c r="M149" s="2" t="s">
        <v>19</v>
      </c>
      <c r="N149" s="35">
        <v>40</v>
      </c>
    </row>
    <row r="150" spans="1:14" x14ac:dyDescent="0.3">
      <c r="A150" s="4" t="s">
        <v>329</v>
      </c>
      <c r="B150" s="4" t="str">
        <f>TEXT(Table1[[#This Row],[Date]],"mmmm")</f>
        <v>October</v>
      </c>
      <c r="C150" s="14">
        <v>46306</v>
      </c>
      <c r="D150" s="2" t="s">
        <v>330</v>
      </c>
      <c r="E150" s="2" t="s">
        <v>22</v>
      </c>
      <c r="F150" s="2" t="s">
        <v>71</v>
      </c>
      <c r="G150" s="2" t="s">
        <v>17</v>
      </c>
      <c r="H150" s="2">
        <v>1</v>
      </c>
      <c r="I150" s="31">
        <v>571</v>
      </c>
      <c r="J150" s="3">
        <v>0.1</v>
      </c>
      <c r="K150" s="31">
        <v>513</v>
      </c>
      <c r="L150" s="2" t="s">
        <v>29</v>
      </c>
      <c r="M150" s="2" t="s">
        <v>30</v>
      </c>
      <c r="N150" s="35">
        <v>51</v>
      </c>
    </row>
    <row r="151" spans="1:14" x14ac:dyDescent="0.3">
      <c r="A151" s="4" t="s">
        <v>331</v>
      </c>
      <c r="B151" s="4" t="str">
        <f>TEXT(Table1[[#This Row],[Date]],"mmmm")</f>
        <v>August</v>
      </c>
      <c r="C151" s="14">
        <v>46236</v>
      </c>
      <c r="D151" s="2" t="s">
        <v>332</v>
      </c>
      <c r="E151" s="2" t="s">
        <v>70</v>
      </c>
      <c r="F151" s="2" t="s">
        <v>33</v>
      </c>
      <c r="G151" s="2" t="s">
        <v>17</v>
      </c>
      <c r="H151" s="2">
        <v>4</v>
      </c>
      <c r="I151" s="31">
        <v>220</v>
      </c>
      <c r="J151" s="3">
        <v>0.04</v>
      </c>
      <c r="K151" s="31">
        <v>844</v>
      </c>
      <c r="L151" s="2" t="s">
        <v>24</v>
      </c>
      <c r="M151" s="2" t="s">
        <v>19</v>
      </c>
      <c r="N151" s="35">
        <v>151</v>
      </c>
    </row>
    <row r="152" spans="1:14" x14ac:dyDescent="0.3">
      <c r="A152" s="4" t="s">
        <v>333</v>
      </c>
      <c r="B152" s="4" t="str">
        <f>TEXT(Table1[[#This Row],[Date]],"mmmm")</f>
        <v>August</v>
      </c>
      <c r="C152" s="14">
        <v>46247</v>
      </c>
      <c r="D152" s="2" t="s">
        <v>334</v>
      </c>
      <c r="E152" s="2" t="s">
        <v>27</v>
      </c>
      <c r="F152" s="2" t="s">
        <v>36</v>
      </c>
      <c r="G152" s="2" t="s">
        <v>17</v>
      </c>
      <c r="H152" s="2">
        <v>5</v>
      </c>
      <c r="I152" s="31">
        <v>249</v>
      </c>
      <c r="J152" s="3">
        <v>0.16</v>
      </c>
      <c r="K152" s="31">
        <v>1045</v>
      </c>
      <c r="L152" s="2" t="s">
        <v>37</v>
      </c>
      <c r="M152" s="2" t="s">
        <v>54</v>
      </c>
      <c r="N152" s="35">
        <v>334</v>
      </c>
    </row>
    <row r="153" spans="1:14" x14ac:dyDescent="0.3">
      <c r="A153" s="4" t="s">
        <v>335</v>
      </c>
      <c r="B153" s="4" t="str">
        <f>TEXT(Table1[[#This Row],[Date]],"mmmm")</f>
        <v>August</v>
      </c>
      <c r="C153" s="14">
        <v>46253</v>
      </c>
      <c r="D153" s="2" t="s">
        <v>202</v>
      </c>
      <c r="E153" s="2" t="s">
        <v>40</v>
      </c>
      <c r="F153" s="2" t="s">
        <v>71</v>
      </c>
      <c r="G153" s="2" t="s">
        <v>17</v>
      </c>
      <c r="H153" s="2">
        <v>2</v>
      </c>
      <c r="I153" s="31">
        <v>490</v>
      </c>
      <c r="J153" s="3">
        <v>0.04</v>
      </c>
      <c r="K153" s="31">
        <v>940</v>
      </c>
      <c r="L153" s="2" t="s">
        <v>29</v>
      </c>
      <c r="M153" s="2" t="s">
        <v>19</v>
      </c>
      <c r="N153" s="35">
        <v>197</v>
      </c>
    </row>
    <row r="154" spans="1:14" x14ac:dyDescent="0.3">
      <c r="A154" s="4" t="s">
        <v>336</v>
      </c>
      <c r="B154" s="4" t="str">
        <f>TEXT(Table1[[#This Row],[Date]],"mmmm")</f>
        <v>January</v>
      </c>
      <c r="C154" s="14">
        <v>46038</v>
      </c>
      <c r="D154" s="2" t="s">
        <v>296</v>
      </c>
      <c r="E154" s="2" t="s">
        <v>70</v>
      </c>
      <c r="F154" s="2" t="s">
        <v>74</v>
      </c>
      <c r="G154" s="2" t="s">
        <v>17</v>
      </c>
      <c r="H154" s="2">
        <v>5</v>
      </c>
      <c r="I154" s="31">
        <v>172</v>
      </c>
      <c r="J154" s="3">
        <v>0</v>
      </c>
      <c r="K154" s="31">
        <v>860</v>
      </c>
      <c r="L154" s="2" t="s">
        <v>24</v>
      </c>
      <c r="M154" s="2" t="s">
        <v>54</v>
      </c>
      <c r="N154" s="35">
        <v>266</v>
      </c>
    </row>
    <row r="155" spans="1:14" x14ac:dyDescent="0.3">
      <c r="A155" s="4" t="s">
        <v>337</v>
      </c>
      <c r="B155" s="4" t="str">
        <f>TEXT(Table1[[#This Row],[Date]],"mmmm")</f>
        <v>December</v>
      </c>
      <c r="C155" s="14">
        <v>46361</v>
      </c>
      <c r="D155" s="2" t="s">
        <v>338</v>
      </c>
      <c r="E155" s="2" t="s">
        <v>22</v>
      </c>
      <c r="F155" s="2" t="s">
        <v>41</v>
      </c>
      <c r="G155" s="2" t="s">
        <v>17</v>
      </c>
      <c r="H155" s="2">
        <v>4</v>
      </c>
      <c r="I155" s="31">
        <v>193</v>
      </c>
      <c r="J155" s="3">
        <v>0.1</v>
      </c>
      <c r="K155" s="31">
        <v>694</v>
      </c>
      <c r="L155" s="2" t="s">
        <v>24</v>
      </c>
      <c r="M155" s="2" t="s">
        <v>30</v>
      </c>
      <c r="N155" s="35">
        <v>83</v>
      </c>
    </row>
    <row r="156" spans="1:14" x14ac:dyDescent="0.3">
      <c r="A156" s="4" t="s">
        <v>339</v>
      </c>
      <c r="B156" s="4" t="str">
        <f>TEXT(Table1[[#This Row],[Date]],"mmmm")</f>
        <v>April</v>
      </c>
      <c r="C156" s="14">
        <v>46133</v>
      </c>
      <c r="D156" s="2" t="s">
        <v>340</v>
      </c>
      <c r="E156" s="2" t="s">
        <v>22</v>
      </c>
      <c r="F156" s="2" t="s">
        <v>16</v>
      </c>
      <c r="G156" s="2" t="s">
        <v>17</v>
      </c>
      <c r="H156" s="2">
        <v>3</v>
      </c>
      <c r="I156" s="31">
        <v>455</v>
      </c>
      <c r="J156" s="3">
        <v>0.08</v>
      </c>
      <c r="K156" s="31">
        <v>1255</v>
      </c>
      <c r="L156" s="2" t="s">
        <v>29</v>
      </c>
      <c r="M156" s="2" t="s">
        <v>30</v>
      </c>
      <c r="N156" s="35">
        <v>351</v>
      </c>
    </row>
    <row r="157" spans="1:14" x14ac:dyDescent="0.3">
      <c r="A157" s="4" t="s">
        <v>341</v>
      </c>
      <c r="B157" s="4" t="str">
        <f>TEXT(Table1[[#This Row],[Date]],"mmmm")</f>
        <v>February</v>
      </c>
      <c r="C157" s="14">
        <v>46071</v>
      </c>
      <c r="D157" s="2" t="s">
        <v>35</v>
      </c>
      <c r="E157" s="2" t="s">
        <v>70</v>
      </c>
      <c r="F157" s="2" t="s">
        <v>41</v>
      </c>
      <c r="G157" s="2" t="s">
        <v>17</v>
      </c>
      <c r="H157" s="2">
        <v>4</v>
      </c>
      <c r="I157" s="31">
        <v>761</v>
      </c>
      <c r="J157" s="3">
        <v>0</v>
      </c>
      <c r="K157" s="31">
        <v>3044</v>
      </c>
      <c r="L157" s="2" t="s">
        <v>37</v>
      </c>
      <c r="M157" s="2" t="s">
        <v>19</v>
      </c>
      <c r="N157" s="35">
        <v>730</v>
      </c>
    </row>
    <row r="158" spans="1:14" x14ac:dyDescent="0.3">
      <c r="A158" s="4" t="s">
        <v>342</v>
      </c>
      <c r="B158" s="4" t="str">
        <f>TEXT(Table1[[#This Row],[Date]],"mmmm")</f>
        <v>September</v>
      </c>
      <c r="C158" s="14">
        <v>46288</v>
      </c>
      <c r="D158" s="2" t="s">
        <v>343</v>
      </c>
      <c r="E158" s="2" t="s">
        <v>22</v>
      </c>
      <c r="F158" s="2" t="s">
        <v>33</v>
      </c>
      <c r="G158" s="2" t="s">
        <v>17</v>
      </c>
      <c r="H158" s="2">
        <v>5</v>
      </c>
      <c r="I158" s="31">
        <v>673</v>
      </c>
      <c r="J158" s="3">
        <v>0.16</v>
      </c>
      <c r="K158" s="31">
        <v>2826</v>
      </c>
      <c r="L158" s="2" t="s">
        <v>18</v>
      </c>
      <c r="M158" s="2" t="s">
        <v>30</v>
      </c>
      <c r="N158" s="35">
        <v>367</v>
      </c>
    </row>
    <row r="159" spans="1:14" x14ac:dyDescent="0.3">
      <c r="A159" s="4" t="s">
        <v>344</v>
      </c>
      <c r="B159" s="4" t="str">
        <f>TEXT(Table1[[#This Row],[Date]],"mmmm")</f>
        <v>April</v>
      </c>
      <c r="C159" s="14">
        <v>46118</v>
      </c>
      <c r="D159" s="2" t="s">
        <v>345</v>
      </c>
      <c r="E159" s="2" t="s">
        <v>27</v>
      </c>
      <c r="F159" s="2" t="s">
        <v>71</v>
      </c>
      <c r="G159" s="2" t="s">
        <v>17</v>
      </c>
      <c r="H159" s="2">
        <v>2</v>
      </c>
      <c r="I159" s="31">
        <v>105</v>
      </c>
      <c r="J159" s="3">
        <v>0.12</v>
      </c>
      <c r="K159" s="31">
        <v>184</v>
      </c>
      <c r="L159" s="2" t="s">
        <v>18</v>
      </c>
      <c r="M159" s="2" t="s">
        <v>30</v>
      </c>
      <c r="N159" s="35">
        <v>23</v>
      </c>
    </row>
    <row r="160" spans="1:14" x14ac:dyDescent="0.3">
      <c r="A160" s="4" t="s">
        <v>346</v>
      </c>
      <c r="B160" s="4" t="str">
        <f>TEXT(Table1[[#This Row],[Date]],"mmmm")</f>
        <v>September</v>
      </c>
      <c r="C160" s="14">
        <v>46278</v>
      </c>
      <c r="D160" s="2" t="s">
        <v>320</v>
      </c>
      <c r="E160" s="2" t="s">
        <v>22</v>
      </c>
      <c r="F160" s="2" t="s">
        <v>16</v>
      </c>
      <c r="G160" s="2" t="s">
        <v>17</v>
      </c>
      <c r="H160" s="2">
        <v>4</v>
      </c>
      <c r="I160" s="31">
        <v>573</v>
      </c>
      <c r="J160" s="3">
        <v>7.0000000000000007E-2</v>
      </c>
      <c r="K160" s="31">
        <v>2131</v>
      </c>
      <c r="L160" s="2" t="s">
        <v>29</v>
      </c>
      <c r="M160" s="2" t="s">
        <v>19</v>
      </c>
      <c r="N160" s="35">
        <v>724</v>
      </c>
    </row>
    <row r="161" spans="1:14" x14ac:dyDescent="0.3">
      <c r="A161" s="4" t="s">
        <v>347</v>
      </c>
      <c r="B161" s="4" t="str">
        <f>TEXT(Table1[[#This Row],[Date]],"mmmm")</f>
        <v>January</v>
      </c>
      <c r="C161" s="14">
        <v>46048</v>
      </c>
      <c r="D161" s="2" t="s">
        <v>348</v>
      </c>
      <c r="E161" s="2" t="s">
        <v>15</v>
      </c>
      <c r="F161" s="2" t="s">
        <v>23</v>
      </c>
      <c r="G161" s="2" t="s">
        <v>17</v>
      </c>
      <c r="H161" s="2">
        <v>2</v>
      </c>
      <c r="I161" s="31">
        <v>482</v>
      </c>
      <c r="J161" s="3">
        <v>0.14000000000000001</v>
      </c>
      <c r="K161" s="31">
        <v>829</v>
      </c>
      <c r="L161" s="2" t="s">
        <v>18</v>
      </c>
      <c r="M161" s="2" t="s">
        <v>30</v>
      </c>
      <c r="N161" s="35">
        <v>116</v>
      </c>
    </row>
    <row r="162" spans="1:14" x14ac:dyDescent="0.3">
      <c r="A162" s="4" t="s">
        <v>349</v>
      </c>
      <c r="B162" s="4" t="str">
        <f>TEXT(Table1[[#This Row],[Date]],"mmmm")</f>
        <v>August</v>
      </c>
      <c r="C162" s="14">
        <v>46235</v>
      </c>
      <c r="D162" s="2" t="s">
        <v>350</v>
      </c>
      <c r="E162" s="2" t="s">
        <v>15</v>
      </c>
      <c r="F162" s="2" t="s">
        <v>28</v>
      </c>
      <c r="G162" s="2" t="s">
        <v>17</v>
      </c>
      <c r="H162" s="2">
        <v>1</v>
      </c>
      <c r="I162" s="31">
        <v>550</v>
      </c>
      <c r="J162" s="3">
        <v>0.19</v>
      </c>
      <c r="K162" s="31">
        <v>445</v>
      </c>
      <c r="L162" s="2" t="s">
        <v>37</v>
      </c>
      <c r="M162" s="2" t="s">
        <v>54</v>
      </c>
      <c r="N162" s="35">
        <v>106</v>
      </c>
    </row>
    <row r="163" spans="1:14" x14ac:dyDescent="0.3">
      <c r="A163" s="4" t="s">
        <v>351</v>
      </c>
      <c r="B163" s="4" t="str">
        <f>TEXT(Table1[[#This Row],[Date]],"mmmm")</f>
        <v>April</v>
      </c>
      <c r="C163" s="14">
        <v>46129</v>
      </c>
      <c r="D163" s="2" t="s">
        <v>352</v>
      </c>
      <c r="E163" s="2" t="s">
        <v>15</v>
      </c>
      <c r="F163" s="2" t="s">
        <v>23</v>
      </c>
      <c r="G163" s="2" t="s">
        <v>17</v>
      </c>
      <c r="H163" s="2">
        <v>4</v>
      </c>
      <c r="I163" s="31">
        <v>756</v>
      </c>
      <c r="J163" s="3">
        <v>0.15</v>
      </c>
      <c r="K163" s="31">
        <v>2570</v>
      </c>
      <c r="L163" s="2" t="s">
        <v>18</v>
      </c>
      <c r="M163" s="2" t="s">
        <v>19</v>
      </c>
      <c r="N163" s="35">
        <v>616</v>
      </c>
    </row>
    <row r="164" spans="1:14" x14ac:dyDescent="0.3">
      <c r="A164" s="4" t="s">
        <v>353</v>
      </c>
      <c r="B164" s="4" t="str">
        <f>TEXT(Table1[[#This Row],[Date]],"mmmm")</f>
        <v>April</v>
      </c>
      <c r="C164" s="14">
        <v>46113</v>
      </c>
      <c r="D164" s="2" t="s">
        <v>132</v>
      </c>
      <c r="E164" s="2" t="s">
        <v>15</v>
      </c>
      <c r="F164" s="2" t="s">
        <v>48</v>
      </c>
      <c r="G164" s="2" t="s">
        <v>17</v>
      </c>
      <c r="H164" s="2">
        <v>1</v>
      </c>
      <c r="I164" s="31">
        <v>273</v>
      </c>
      <c r="J164" s="3">
        <v>0.16</v>
      </c>
      <c r="K164" s="31">
        <v>229</v>
      </c>
      <c r="L164" s="2" t="s">
        <v>29</v>
      </c>
      <c r="M164" s="2" t="s">
        <v>19</v>
      </c>
      <c r="N164" s="35">
        <v>48</v>
      </c>
    </row>
    <row r="165" spans="1:14" x14ac:dyDescent="0.3">
      <c r="A165" s="4" t="s">
        <v>354</v>
      </c>
      <c r="B165" s="4" t="str">
        <f>TEXT(Table1[[#This Row],[Date]],"mmmm")</f>
        <v>October</v>
      </c>
      <c r="C165" s="14">
        <v>46309</v>
      </c>
      <c r="D165" s="2" t="s">
        <v>355</v>
      </c>
      <c r="E165" s="2" t="s">
        <v>15</v>
      </c>
      <c r="F165" s="2" t="s">
        <v>16</v>
      </c>
      <c r="G165" s="2" t="s">
        <v>17</v>
      </c>
      <c r="H165" s="2">
        <v>1</v>
      </c>
      <c r="I165" s="31">
        <v>775</v>
      </c>
      <c r="J165" s="3">
        <v>0.19</v>
      </c>
      <c r="K165" s="31">
        <v>627</v>
      </c>
      <c r="L165" s="2" t="s">
        <v>29</v>
      </c>
      <c r="M165" s="2" t="s">
        <v>19</v>
      </c>
      <c r="N165" s="35">
        <v>68</v>
      </c>
    </row>
    <row r="166" spans="1:14" x14ac:dyDescent="0.3">
      <c r="A166" s="4" t="s">
        <v>356</v>
      </c>
      <c r="B166" s="4" t="str">
        <f>TEXT(Table1[[#This Row],[Date]],"mmmm")</f>
        <v>January</v>
      </c>
      <c r="C166" s="14">
        <v>46044</v>
      </c>
      <c r="D166" s="2" t="s">
        <v>357</v>
      </c>
      <c r="E166" s="2" t="s">
        <v>27</v>
      </c>
      <c r="F166" s="2" t="s">
        <v>74</v>
      </c>
      <c r="G166" s="2" t="s">
        <v>17</v>
      </c>
      <c r="H166" s="2">
        <v>5</v>
      </c>
      <c r="I166" s="31">
        <v>255</v>
      </c>
      <c r="J166" s="3">
        <v>0.09</v>
      </c>
      <c r="K166" s="31">
        <v>1160</v>
      </c>
      <c r="L166" s="2" t="s">
        <v>18</v>
      </c>
      <c r="M166" s="2" t="s">
        <v>30</v>
      </c>
      <c r="N166" s="35">
        <v>116</v>
      </c>
    </row>
    <row r="167" spans="1:14" x14ac:dyDescent="0.3">
      <c r="A167" s="4" t="s">
        <v>358</v>
      </c>
      <c r="B167" s="4" t="str">
        <f>TEXT(Table1[[#This Row],[Date]],"mmmm")</f>
        <v>April</v>
      </c>
      <c r="C167" s="14">
        <v>46129</v>
      </c>
      <c r="D167" s="2" t="s">
        <v>359</v>
      </c>
      <c r="E167" s="2" t="s">
        <v>40</v>
      </c>
      <c r="F167" s="2" t="s">
        <v>23</v>
      </c>
      <c r="G167" s="2" t="s">
        <v>17</v>
      </c>
      <c r="H167" s="2">
        <v>5</v>
      </c>
      <c r="I167" s="31">
        <v>364</v>
      </c>
      <c r="J167" s="3">
        <v>0.17</v>
      </c>
      <c r="K167" s="31">
        <v>1510</v>
      </c>
      <c r="L167" s="2" t="s">
        <v>24</v>
      </c>
      <c r="M167" s="2" t="s">
        <v>30</v>
      </c>
      <c r="N167" s="35">
        <v>498</v>
      </c>
    </row>
    <row r="168" spans="1:14" x14ac:dyDescent="0.3">
      <c r="A168" s="4" t="s">
        <v>360</v>
      </c>
      <c r="B168" s="4" t="str">
        <f>TEXT(Table1[[#This Row],[Date]],"mmmm")</f>
        <v>March</v>
      </c>
      <c r="C168" s="14">
        <v>46105</v>
      </c>
      <c r="D168" s="2" t="s">
        <v>213</v>
      </c>
      <c r="E168" s="2" t="s">
        <v>40</v>
      </c>
      <c r="F168" s="2" t="s">
        <v>23</v>
      </c>
      <c r="G168" s="2" t="s">
        <v>17</v>
      </c>
      <c r="H168" s="2">
        <v>2</v>
      </c>
      <c r="I168" s="31">
        <v>161</v>
      </c>
      <c r="J168" s="3">
        <v>0.06</v>
      </c>
      <c r="K168" s="31">
        <v>302</v>
      </c>
      <c r="L168" s="2" t="s">
        <v>37</v>
      </c>
      <c r="M168" s="2" t="s">
        <v>54</v>
      </c>
      <c r="N168" s="35">
        <v>90</v>
      </c>
    </row>
    <row r="169" spans="1:14" x14ac:dyDescent="0.3">
      <c r="A169" s="4" t="s">
        <v>361</v>
      </c>
      <c r="B169" s="4" t="str">
        <f>TEXT(Table1[[#This Row],[Date]],"mmmm")</f>
        <v>April</v>
      </c>
      <c r="C169" s="14">
        <v>46118</v>
      </c>
      <c r="D169" s="2" t="s">
        <v>260</v>
      </c>
      <c r="E169" s="2" t="s">
        <v>70</v>
      </c>
      <c r="F169" s="2" t="s">
        <v>36</v>
      </c>
      <c r="G169" s="2" t="s">
        <v>17</v>
      </c>
      <c r="H169" s="2">
        <v>4</v>
      </c>
      <c r="I169" s="31">
        <v>198</v>
      </c>
      <c r="J169" s="3">
        <v>0.08</v>
      </c>
      <c r="K169" s="31">
        <v>728</v>
      </c>
      <c r="L169" s="2" t="s">
        <v>37</v>
      </c>
      <c r="M169" s="2" t="s">
        <v>19</v>
      </c>
      <c r="N169" s="35">
        <v>232</v>
      </c>
    </row>
    <row r="170" spans="1:14" x14ac:dyDescent="0.3">
      <c r="A170" s="4" t="s">
        <v>362</v>
      </c>
      <c r="B170" s="4" t="str">
        <f>TEXT(Table1[[#This Row],[Date]],"mmmm")</f>
        <v>June</v>
      </c>
      <c r="C170" s="14">
        <v>46186</v>
      </c>
      <c r="D170" s="2" t="s">
        <v>363</v>
      </c>
      <c r="E170" s="2" t="s">
        <v>27</v>
      </c>
      <c r="F170" s="2" t="s">
        <v>33</v>
      </c>
      <c r="G170" s="2" t="s">
        <v>17</v>
      </c>
      <c r="H170" s="2">
        <v>2</v>
      </c>
      <c r="I170" s="31">
        <v>306</v>
      </c>
      <c r="J170" s="3">
        <v>0.16</v>
      </c>
      <c r="K170" s="31">
        <v>514</v>
      </c>
      <c r="L170" s="2" t="s">
        <v>18</v>
      </c>
      <c r="M170" s="2" t="s">
        <v>19</v>
      </c>
      <c r="N170" s="35">
        <v>56</v>
      </c>
    </row>
    <row r="171" spans="1:14" x14ac:dyDescent="0.3">
      <c r="A171" s="4" t="s">
        <v>364</v>
      </c>
      <c r="B171" s="4" t="str">
        <f>TEXT(Table1[[#This Row],[Date]],"mmmm")</f>
        <v>July</v>
      </c>
      <c r="C171" s="14">
        <v>46226</v>
      </c>
      <c r="D171" s="2" t="s">
        <v>365</v>
      </c>
      <c r="E171" s="2" t="s">
        <v>22</v>
      </c>
      <c r="F171" s="2" t="s">
        <v>41</v>
      </c>
      <c r="G171" s="2" t="s">
        <v>17</v>
      </c>
      <c r="H171" s="2">
        <v>1</v>
      </c>
      <c r="I171" s="31">
        <v>624</v>
      </c>
      <c r="J171" s="3">
        <v>0</v>
      </c>
      <c r="K171" s="31">
        <v>624</v>
      </c>
      <c r="L171" s="2" t="s">
        <v>18</v>
      </c>
      <c r="M171" s="2" t="s">
        <v>54</v>
      </c>
      <c r="N171" s="35">
        <v>149</v>
      </c>
    </row>
    <row r="172" spans="1:14" x14ac:dyDescent="0.3">
      <c r="A172" s="4" t="s">
        <v>366</v>
      </c>
      <c r="B172" s="4" t="str">
        <f>TEXT(Table1[[#This Row],[Date]],"mmmm")</f>
        <v>May</v>
      </c>
      <c r="C172" s="14">
        <v>46162</v>
      </c>
      <c r="D172" s="2" t="s">
        <v>367</v>
      </c>
      <c r="E172" s="2" t="s">
        <v>27</v>
      </c>
      <c r="F172" s="2" t="s">
        <v>16</v>
      </c>
      <c r="G172" s="2" t="s">
        <v>17</v>
      </c>
      <c r="H172" s="2">
        <v>5</v>
      </c>
      <c r="I172" s="31">
        <v>191</v>
      </c>
      <c r="J172" s="3">
        <v>0.14000000000000001</v>
      </c>
      <c r="K172" s="31">
        <v>821</v>
      </c>
      <c r="L172" s="2" t="s">
        <v>37</v>
      </c>
      <c r="M172" s="2" t="s">
        <v>54</v>
      </c>
      <c r="N172" s="35">
        <v>90</v>
      </c>
    </row>
    <row r="173" spans="1:14" x14ac:dyDescent="0.3">
      <c r="A173" s="4" t="s">
        <v>368</v>
      </c>
      <c r="B173" s="4" t="str">
        <f>TEXT(Table1[[#This Row],[Date]],"mmmm")</f>
        <v>May</v>
      </c>
      <c r="C173" s="14">
        <v>46163</v>
      </c>
      <c r="D173" s="2" t="s">
        <v>369</v>
      </c>
      <c r="E173" s="2" t="s">
        <v>40</v>
      </c>
      <c r="F173" s="2" t="s">
        <v>28</v>
      </c>
      <c r="G173" s="2" t="s">
        <v>17</v>
      </c>
      <c r="H173" s="2">
        <v>3</v>
      </c>
      <c r="I173" s="31">
        <v>557</v>
      </c>
      <c r="J173" s="3">
        <v>0.06</v>
      </c>
      <c r="K173" s="31">
        <v>1570</v>
      </c>
      <c r="L173" s="2" t="s">
        <v>37</v>
      </c>
      <c r="M173" s="2" t="s">
        <v>19</v>
      </c>
      <c r="N173" s="35">
        <v>329</v>
      </c>
    </row>
    <row r="174" spans="1:14" x14ac:dyDescent="0.3">
      <c r="A174" s="4" t="s">
        <v>370</v>
      </c>
      <c r="B174" s="4" t="str">
        <f>TEXT(Table1[[#This Row],[Date]],"mmmm")</f>
        <v>December</v>
      </c>
      <c r="C174" s="14">
        <v>46369</v>
      </c>
      <c r="D174" s="2" t="s">
        <v>62</v>
      </c>
      <c r="E174" s="2" t="s">
        <v>27</v>
      </c>
      <c r="F174" s="2" t="s">
        <v>74</v>
      </c>
      <c r="G174" s="2" t="s">
        <v>17</v>
      </c>
      <c r="H174" s="2">
        <v>4</v>
      </c>
      <c r="I174" s="31">
        <v>521</v>
      </c>
      <c r="J174" s="3">
        <v>0.02</v>
      </c>
      <c r="K174" s="31">
        <v>2042</v>
      </c>
      <c r="L174" s="2" t="s">
        <v>18</v>
      </c>
      <c r="M174" s="2" t="s">
        <v>19</v>
      </c>
      <c r="N174" s="35">
        <v>285</v>
      </c>
    </row>
    <row r="175" spans="1:14" x14ac:dyDescent="0.3">
      <c r="A175" s="4" t="s">
        <v>371</v>
      </c>
      <c r="B175" s="4" t="str">
        <f>TEXT(Table1[[#This Row],[Date]],"mmmm")</f>
        <v>January</v>
      </c>
      <c r="C175" s="14">
        <v>46023</v>
      </c>
      <c r="D175" s="2" t="s">
        <v>372</v>
      </c>
      <c r="E175" s="2" t="s">
        <v>27</v>
      </c>
      <c r="F175" s="2" t="s">
        <v>71</v>
      </c>
      <c r="G175" s="2" t="s">
        <v>17</v>
      </c>
      <c r="H175" s="2">
        <v>4</v>
      </c>
      <c r="I175" s="31">
        <v>213</v>
      </c>
      <c r="J175" s="3">
        <v>0.06</v>
      </c>
      <c r="K175" s="31">
        <v>800</v>
      </c>
      <c r="L175" s="2" t="s">
        <v>18</v>
      </c>
      <c r="M175" s="2" t="s">
        <v>30</v>
      </c>
      <c r="N175" s="35">
        <v>136</v>
      </c>
    </row>
    <row r="176" spans="1:14" x14ac:dyDescent="0.3">
      <c r="A176" s="4" t="s">
        <v>373</v>
      </c>
      <c r="B176" s="4" t="str">
        <f>TEXT(Table1[[#This Row],[Date]],"mmmm")</f>
        <v>November</v>
      </c>
      <c r="C176" s="14">
        <v>46342</v>
      </c>
      <c r="D176" s="2" t="s">
        <v>374</v>
      </c>
      <c r="E176" s="2" t="s">
        <v>15</v>
      </c>
      <c r="F176" s="2" t="s">
        <v>36</v>
      </c>
      <c r="G176" s="2" t="s">
        <v>17</v>
      </c>
      <c r="H176" s="2">
        <v>1</v>
      </c>
      <c r="I176" s="31">
        <v>207</v>
      </c>
      <c r="J176" s="3">
        <v>0.13</v>
      </c>
      <c r="K176" s="31">
        <v>180</v>
      </c>
      <c r="L176" s="2" t="s">
        <v>18</v>
      </c>
      <c r="M176" s="2" t="s">
        <v>54</v>
      </c>
      <c r="N176" s="35">
        <v>39</v>
      </c>
    </row>
    <row r="177" spans="1:14" x14ac:dyDescent="0.3">
      <c r="A177" s="4" t="s">
        <v>375</v>
      </c>
      <c r="B177" s="4" t="str">
        <f>TEXT(Table1[[#This Row],[Date]],"mmmm")</f>
        <v>May</v>
      </c>
      <c r="C177" s="14">
        <v>46160</v>
      </c>
      <c r="D177" s="2" t="s">
        <v>376</v>
      </c>
      <c r="E177" s="2" t="s">
        <v>27</v>
      </c>
      <c r="F177" s="2" t="s">
        <v>23</v>
      </c>
      <c r="G177" s="2" t="s">
        <v>17</v>
      </c>
      <c r="H177" s="2">
        <v>2</v>
      </c>
      <c r="I177" s="31">
        <v>351</v>
      </c>
      <c r="J177" s="3">
        <v>0.05</v>
      </c>
      <c r="K177" s="31">
        <v>666</v>
      </c>
      <c r="L177" s="2" t="s">
        <v>29</v>
      </c>
      <c r="M177" s="2" t="s">
        <v>54</v>
      </c>
      <c r="N177" s="35">
        <v>206</v>
      </c>
    </row>
    <row r="178" spans="1:14" x14ac:dyDescent="0.3">
      <c r="A178" s="4" t="s">
        <v>377</v>
      </c>
      <c r="B178" s="4" t="str">
        <f>TEXT(Table1[[#This Row],[Date]],"mmmm")</f>
        <v>March</v>
      </c>
      <c r="C178" s="14">
        <v>46104</v>
      </c>
      <c r="D178" s="2" t="s">
        <v>378</v>
      </c>
      <c r="E178" s="2" t="s">
        <v>27</v>
      </c>
      <c r="F178" s="2" t="s">
        <v>28</v>
      </c>
      <c r="G178" s="2" t="s">
        <v>17</v>
      </c>
      <c r="H178" s="2">
        <v>1</v>
      </c>
      <c r="I178" s="31">
        <v>622</v>
      </c>
      <c r="J178" s="3">
        <v>0.06</v>
      </c>
      <c r="K178" s="31">
        <v>584</v>
      </c>
      <c r="L178" s="2" t="s">
        <v>18</v>
      </c>
      <c r="M178" s="2" t="s">
        <v>30</v>
      </c>
      <c r="N178" s="35">
        <v>99</v>
      </c>
    </row>
    <row r="179" spans="1:14" x14ac:dyDescent="0.3">
      <c r="A179" s="4" t="s">
        <v>379</v>
      </c>
      <c r="B179" s="4" t="str">
        <f>TEXT(Table1[[#This Row],[Date]],"mmmm")</f>
        <v>August</v>
      </c>
      <c r="C179" s="14">
        <v>46245</v>
      </c>
      <c r="D179" s="2" t="s">
        <v>380</v>
      </c>
      <c r="E179" s="2" t="s">
        <v>70</v>
      </c>
      <c r="F179" s="2" t="s">
        <v>67</v>
      </c>
      <c r="G179" s="2" t="s">
        <v>17</v>
      </c>
      <c r="H179" s="2">
        <v>2</v>
      </c>
      <c r="I179" s="31">
        <v>617</v>
      </c>
      <c r="J179" s="3">
        <v>0.06</v>
      </c>
      <c r="K179" s="31">
        <v>1159</v>
      </c>
      <c r="L179" s="2" t="s">
        <v>37</v>
      </c>
      <c r="M179" s="2" t="s">
        <v>30</v>
      </c>
      <c r="N179" s="35">
        <v>312</v>
      </c>
    </row>
    <row r="180" spans="1:14" x14ac:dyDescent="0.3">
      <c r="A180" s="4" t="s">
        <v>381</v>
      </c>
      <c r="B180" s="4" t="str">
        <f>TEXT(Table1[[#This Row],[Date]],"mmmm")</f>
        <v>March</v>
      </c>
      <c r="C180" s="14">
        <v>46094</v>
      </c>
      <c r="D180" s="2" t="s">
        <v>382</v>
      </c>
      <c r="E180" s="2" t="s">
        <v>15</v>
      </c>
      <c r="F180" s="2" t="s">
        <v>41</v>
      </c>
      <c r="G180" s="2" t="s">
        <v>17</v>
      </c>
      <c r="H180" s="2">
        <v>4</v>
      </c>
      <c r="I180" s="31">
        <v>620</v>
      </c>
      <c r="J180" s="3">
        <v>0.13</v>
      </c>
      <c r="K180" s="31">
        <v>2157</v>
      </c>
      <c r="L180" s="2" t="s">
        <v>37</v>
      </c>
      <c r="M180" s="2" t="s">
        <v>19</v>
      </c>
      <c r="N180" s="35">
        <v>754</v>
      </c>
    </row>
    <row r="181" spans="1:14" x14ac:dyDescent="0.3">
      <c r="A181" s="4" t="s">
        <v>383</v>
      </c>
      <c r="B181" s="4" t="str">
        <f>TEXT(Table1[[#This Row],[Date]],"mmmm")</f>
        <v>December</v>
      </c>
      <c r="C181" s="14">
        <v>46382</v>
      </c>
      <c r="D181" s="2" t="s">
        <v>110</v>
      </c>
      <c r="E181" s="2" t="s">
        <v>70</v>
      </c>
      <c r="F181" s="2" t="s">
        <v>23</v>
      </c>
      <c r="G181" s="2" t="s">
        <v>17</v>
      </c>
      <c r="H181" s="2">
        <v>4</v>
      </c>
      <c r="I181" s="31">
        <v>123</v>
      </c>
      <c r="J181" s="3">
        <v>0.06</v>
      </c>
      <c r="K181" s="31">
        <v>462</v>
      </c>
      <c r="L181" s="2" t="s">
        <v>29</v>
      </c>
      <c r="M181" s="2" t="s">
        <v>54</v>
      </c>
      <c r="N181" s="35">
        <v>83</v>
      </c>
    </row>
    <row r="182" spans="1:14" x14ac:dyDescent="0.3">
      <c r="A182" s="4" t="s">
        <v>384</v>
      </c>
      <c r="B182" s="4" t="str">
        <f>TEXT(Table1[[#This Row],[Date]],"mmmm")</f>
        <v>January</v>
      </c>
      <c r="C182" s="14">
        <v>46040</v>
      </c>
      <c r="D182" s="2" t="s">
        <v>385</v>
      </c>
      <c r="E182" s="2" t="s">
        <v>22</v>
      </c>
      <c r="F182" s="2" t="s">
        <v>36</v>
      </c>
      <c r="G182" s="2" t="s">
        <v>17</v>
      </c>
      <c r="H182" s="2">
        <v>3</v>
      </c>
      <c r="I182" s="31">
        <v>208</v>
      </c>
      <c r="J182" s="3">
        <v>0.15</v>
      </c>
      <c r="K182" s="31">
        <v>530</v>
      </c>
      <c r="L182" s="2" t="s">
        <v>37</v>
      </c>
      <c r="M182" s="2" t="s">
        <v>54</v>
      </c>
      <c r="N182" s="35">
        <v>169</v>
      </c>
    </row>
    <row r="183" spans="1:14" x14ac:dyDescent="0.3">
      <c r="A183" s="4" t="s">
        <v>386</v>
      </c>
      <c r="B183" s="4" t="str">
        <f>TEXT(Table1[[#This Row],[Date]],"mmmm")</f>
        <v>August</v>
      </c>
      <c r="C183" s="14">
        <v>46259</v>
      </c>
      <c r="D183" s="2" t="s">
        <v>387</v>
      </c>
      <c r="E183" s="2" t="s">
        <v>70</v>
      </c>
      <c r="F183" s="2" t="s">
        <v>41</v>
      </c>
      <c r="G183" s="2" t="s">
        <v>17</v>
      </c>
      <c r="H183" s="2">
        <v>5</v>
      </c>
      <c r="I183" s="31">
        <v>137</v>
      </c>
      <c r="J183" s="3">
        <v>0.15</v>
      </c>
      <c r="K183" s="31">
        <v>582</v>
      </c>
      <c r="L183" s="2" t="s">
        <v>29</v>
      </c>
      <c r="M183" s="2" t="s">
        <v>19</v>
      </c>
      <c r="N183" s="35">
        <v>157</v>
      </c>
    </row>
    <row r="184" spans="1:14" x14ac:dyDescent="0.3">
      <c r="A184" s="4" t="s">
        <v>388</v>
      </c>
      <c r="B184" s="4" t="str">
        <f>TEXT(Table1[[#This Row],[Date]],"mmmm")</f>
        <v>April</v>
      </c>
      <c r="C184" s="14">
        <v>46128</v>
      </c>
      <c r="D184" s="2" t="s">
        <v>389</v>
      </c>
      <c r="E184" s="2" t="s">
        <v>70</v>
      </c>
      <c r="F184" s="2" t="s">
        <v>74</v>
      </c>
      <c r="G184" s="2" t="s">
        <v>17</v>
      </c>
      <c r="H184" s="2">
        <v>3</v>
      </c>
      <c r="I184" s="31">
        <v>187</v>
      </c>
      <c r="J184" s="3">
        <v>0.11</v>
      </c>
      <c r="K184" s="31">
        <v>499</v>
      </c>
      <c r="L184" s="2" t="s">
        <v>24</v>
      </c>
      <c r="M184" s="2" t="s">
        <v>30</v>
      </c>
      <c r="N184" s="35">
        <v>154</v>
      </c>
    </row>
    <row r="185" spans="1:14" x14ac:dyDescent="0.3">
      <c r="A185" s="4" t="s">
        <v>390</v>
      </c>
      <c r="B185" s="4" t="str">
        <f>TEXT(Table1[[#This Row],[Date]],"mmmm")</f>
        <v>August</v>
      </c>
      <c r="C185" s="14">
        <v>46237</v>
      </c>
      <c r="D185" s="2" t="s">
        <v>391</v>
      </c>
      <c r="E185" s="2" t="s">
        <v>22</v>
      </c>
      <c r="F185" s="2" t="s">
        <v>71</v>
      </c>
      <c r="G185" s="2" t="s">
        <v>17</v>
      </c>
      <c r="H185" s="2">
        <v>1</v>
      </c>
      <c r="I185" s="31">
        <v>698</v>
      </c>
      <c r="J185" s="3">
        <v>0.1</v>
      </c>
      <c r="K185" s="31">
        <v>628</v>
      </c>
      <c r="L185" s="2" t="s">
        <v>18</v>
      </c>
      <c r="M185" s="2" t="s">
        <v>54</v>
      </c>
      <c r="N185" s="35">
        <v>69</v>
      </c>
    </row>
    <row r="186" spans="1:14" x14ac:dyDescent="0.3">
      <c r="A186" s="4" t="s">
        <v>392</v>
      </c>
      <c r="B186" s="4" t="str">
        <f>TEXT(Table1[[#This Row],[Date]],"mmmm")</f>
        <v>August</v>
      </c>
      <c r="C186" s="14">
        <v>46252</v>
      </c>
      <c r="D186" s="2" t="s">
        <v>393</v>
      </c>
      <c r="E186" s="2" t="s">
        <v>40</v>
      </c>
      <c r="F186" s="2" t="s">
        <v>36</v>
      </c>
      <c r="G186" s="2" t="s">
        <v>17</v>
      </c>
      <c r="H186" s="2">
        <v>4</v>
      </c>
      <c r="I186" s="31">
        <v>756</v>
      </c>
      <c r="J186" s="3">
        <v>0.2</v>
      </c>
      <c r="K186" s="31">
        <v>2419</v>
      </c>
      <c r="L186" s="2" t="s">
        <v>29</v>
      </c>
      <c r="M186" s="2" t="s">
        <v>19</v>
      </c>
      <c r="N186" s="35">
        <v>483</v>
      </c>
    </row>
    <row r="187" spans="1:14" x14ac:dyDescent="0.3">
      <c r="A187" s="4" t="s">
        <v>394</v>
      </c>
      <c r="B187" s="4" t="str">
        <f>TEXT(Table1[[#This Row],[Date]],"mmmm")</f>
        <v>September</v>
      </c>
      <c r="C187" s="14">
        <v>46288</v>
      </c>
      <c r="D187" s="2" t="s">
        <v>174</v>
      </c>
      <c r="E187" s="2" t="s">
        <v>40</v>
      </c>
      <c r="F187" s="2" t="s">
        <v>23</v>
      </c>
      <c r="G187" s="2" t="s">
        <v>17</v>
      </c>
      <c r="H187" s="2">
        <v>1</v>
      </c>
      <c r="I187" s="31">
        <v>311</v>
      </c>
      <c r="J187" s="3">
        <v>0.1</v>
      </c>
      <c r="K187" s="31">
        <v>279</v>
      </c>
      <c r="L187" s="2" t="s">
        <v>24</v>
      </c>
      <c r="M187" s="2" t="s">
        <v>54</v>
      </c>
      <c r="N187" s="35">
        <v>75</v>
      </c>
    </row>
    <row r="188" spans="1:14" x14ac:dyDescent="0.3">
      <c r="A188" s="4" t="s">
        <v>395</v>
      </c>
      <c r="B188" s="4" t="str">
        <f>TEXT(Table1[[#This Row],[Date]],"mmmm")</f>
        <v>February</v>
      </c>
      <c r="C188" s="14">
        <v>46061</v>
      </c>
      <c r="D188" s="2" t="s">
        <v>396</v>
      </c>
      <c r="E188" s="2" t="s">
        <v>40</v>
      </c>
      <c r="F188" s="2" t="s">
        <v>33</v>
      </c>
      <c r="G188" s="2" t="s">
        <v>17</v>
      </c>
      <c r="H188" s="2">
        <v>5</v>
      </c>
      <c r="I188" s="31">
        <v>112</v>
      </c>
      <c r="J188" s="3">
        <v>0.12</v>
      </c>
      <c r="K188" s="31">
        <v>492</v>
      </c>
      <c r="L188" s="2" t="s">
        <v>18</v>
      </c>
      <c r="M188" s="2" t="s">
        <v>30</v>
      </c>
      <c r="N188" s="35">
        <v>113</v>
      </c>
    </row>
    <row r="189" spans="1:14" x14ac:dyDescent="0.3">
      <c r="A189" s="4" t="s">
        <v>397</v>
      </c>
      <c r="B189" s="4" t="str">
        <f>TEXT(Table1[[#This Row],[Date]],"mmmm")</f>
        <v>November</v>
      </c>
      <c r="C189" s="14">
        <v>46335</v>
      </c>
      <c r="D189" s="2" t="s">
        <v>398</v>
      </c>
      <c r="E189" s="2" t="s">
        <v>15</v>
      </c>
      <c r="F189" s="2" t="s">
        <v>48</v>
      </c>
      <c r="G189" s="2" t="s">
        <v>17</v>
      </c>
      <c r="H189" s="2">
        <v>4</v>
      </c>
      <c r="I189" s="31">
        <v>493</v>
      </c>
      <c r="J189" s="3">
        <v>0.16</v>
      </c>
      <c r="K189" s="31">
        <v>1656</v>
      </c>
      <c r="L189" s="2" t="s">
        <v>37</v>
      </c>
      <c r="M189" s="2" t="s">
        <v>19</v>
      </c>
      <c r="N189" s="35">
        <v>215</v>
      </c>
    </row>
    <row r="190" spans="1:14" x14ac:dyDescent="0.3">
      <c r="A190" s="4" t="s">
        <v>399</v>
      </c>
      <c r="B190" s="4" t="str">
        <f>TEXT(Table1[[#This Row],[Date]],"mmmm")</f>
        <v>February</v>
      </c>
      <c r="C190" s="14">
        <v>46074</v>
      </c>
      <c r="D190" s="2" t="s">
        <v>400</v>
      </c>
      <c r="E190" s="2" t="s">
        <v>70</v>
      </c>
      <c r="F190" s="2" t="s">
        <v>71</v>
      </c>
      <c r="G190" s="2" t="s">
        <v>17</v>
      </c>
      <c r="H190" s="2">
        <v>4</v>
      </c>
      <c r="I190" s="31">
        <v>451</v>
      </c>
      <c r="J190" s="3">
        <v>0.03</v>
      </c>
      <c r="K190" s="31">
        <v>1749</v>
      </c>
      <c r="L190" s="2" t="s">
        <v>18</v>
      </c>
      <c r="M190" s="2" t="s">
        <v>54</v>
      </c>
      <c r="N190" s="35">
        <v>367</v>
      </c>
    </row>
    <row r="191" spans="1:14" x14ac:dyDescent="0.3">
      <c r="A191" s="4" t="s">
        <v>401</v>
      </c>
      <c r="B191" s="4" t="str">
        <f>TEXT(Table1[[#This Row],[Date]],"mmmm")</f>
        <v>May</v>
      </c>
      <c r="C191" s="14">
        <v>46167</v>
      </c>
      <c r="D191" s="2" t="s">
        <v>402</v>
      </c>
      <c r="E191" s="2" t="s">
        <v>27</v>
      </c>
      <c r="F191" s="2" t="s">
        <v>33</v>
      </c>
      <c r="G191" s="2" t="s">
        <v>17</v>
      </c>
      <c r="H191" s="2">
        <v>4</v>
      </c>
      <c r="I191" s="31">
        <v>619</v>
      </c>
      <c r="J191" s="3">
        <v>0.02</v>
      </c>
      <c r="K191" s="31">
        <v>2426</v>
      </c>
      <c r="L191" s="2" t="s">
        <v>29</v>
      </c>
      <c r="M191" s="2" t="s">
        <v>54</v>
      </c>
      <c r="N191" s="35">
        <v>703</v>
      </c>
    </row>
    <row r="192" spans="1:14" x14ac:dyDescent="0.3">
      <c r="A192" s="4" t="s">
        <v>403</v>
      </c>
      <c r="B192" s="4" t="str">
        <f>TEXT(Table1[[#This Row],[Date]],"mmmm")</f>
        <v>June</v>
      </c>
      <c r="C192" s="14">
        <v>46201</v>
      </c>
      <c r="D192" s="2" t="s">
        <v>404</v>
      </c>
      <c r="E192" s="2" t="s">
        <v>70</v>
      </c>
      <c r="F192" s="2" t="s">
        <v>74</v>
      </c>
      <c r="G192" s="2" t="s">
        <v>17</v>
      </c>
      <c r="H192" s="2">
        <v>4</v>
      </c>
      <c r="I192" s="31">
        <v>114</v>
      </c>
      <c r="J192" s="3">
        <v>0.09</v>
      </c>
      <c r="K192" s="31">
        <v>414</v>
      </c>
      <c r="L192" s="2" t="s">
        <v>24</v>
      </c>
      <c r="M192" s="2" t="s">
        <v>19</v>
      </c>
      <c r="N192" s="35">
        <v>128</v>
      </c>
    </row>
    <row r="193" spans="1:14" x14ac:dyDescent="0.3">
      <c r="A193" s="4" t="s">
        <v>405</v>
      </c>
      <c r="B193" s="4" t="str">
        <f>TEXT(Table1[[#This Row],[Date]],"mmmm")</f>
        <v>August</v>
      </c>
      <c r="C193" s="14">
        <v>46253</v>
      </c>
      <c r="D193" s="2" t="s">
        <v>258</v>
      </c>
      <c r="E193" s="2" t="s">
        <v>22</v>
      </c>
      <c r="F193" s="2" t="s">
        <v>67</v>
      </c>
      <c r="G193" s="2" t="s">
        <v>17</v>
      </c>
      <c r="H193" s="2">
        <v>2</v>
      </c>
      <c r="I193" s="31">
        <v>386</v>
      </c>
      <c r="J193" s="3">
        <v>0</v>
      </c>
      <c r="K193" s="31">
        <v>772</v>
      </c>
      <c r="L193" s="2" t="s">
        <v>37</v>
      </c>
      <c r="M193" s="2" t="s">
        <v>54</v>
      </c>
      <c r="N193" s="35">
        <v>193</v>
      </c>
    </row>
    <row r="194" spans="1:14" x14ac:dyDescent="0.3">
      <c r="A194" s="4" t="s">
        <v>406</v>
      </c>
      <c r="B194" s="4" t="str">
        <f>TEXT(Table1[[#This Row],[Date]],"mmmm")</f>
        <v>June</v>
      </c>
      <c r="C194" s="14">
        <v>46195</v>
      </c>
      <c r="D194" s="2" t="s">
        <v>407</v>
      </c>
      <c r="E194" s="2" t="s">
        <v>15</v>
      </c>
      <c r="F194" s="2" t="s">
        <v>67</v>
      </c>
      <c r="G194" s="2" t="s">
        <v>17</v>
      </c>
      <c r="H194" s="2">
        <v>5</v>
      </c>
      <c r="I194" s="31">
        <v>254</v>
      </c>
      <c r="J194" s="3">
        <v>0.04</v>
      </c>
      <c r="K194" s="31">
        <v>1219</v>
      </c>
      <c r="L194" s="2" t="s">
        <v>37</v>
      </c>
      <c r="M194" s="2" t="s">
        <v>19</v>
      </c>
      <c r="N194" s="35">
        <v>292</v>
      </c>
    </row>
    <row r="195" spans="1:14" x14ac:dyDescent="0.3">
      <c r="A195" s="4" t="s">
        <v>408</v>
      </c>
      <c r="B195" s="4" t="str">
        <f>TEXT(Table1[[#This Row],[Date]],"mmmm")</f>
        <v>August</v>
      </c>
      <c r="C195" s="14">
        <v>46262</v>
      </c>
      <c r="D195" s="2" t="s">
        <v>326</v>
      </c>
      <c r="E195" s="2" t="s">
        <v>27</v>
      </c>
      <c r="F195" s="2" t="s">
        <v>36</v>
      </c>
      <c r="G195" s="2" t="s">
        <v>17</v>
      </c>
      <c r="H195" s="2">
        <v>5</v>
      </c>
      <c r="I195" s="31">
        <v>372</v>
      </c>
      <c r="J195" s="3">
        <v>0.13</v>
      </c>
      <c r="K195" s="31">
        <v>1618</v>
      </c>
      <c r="L195" s="2" t="s">
        <v>29</v>
      </c>
      <c r="M195" s="2" t="s">
        <v>54</v>
      </c>
      <c r="N195" s="35">
        <v>566</v>
      </c>
    </row>
    <row r="196" spans="1:14" x14ac:dyDescent="0.3">
      <c r="A196" s="4" t="s">
        <v>409</v>
      </c>
      <c r="B196" s="4" t="str">
        <f>TEXT(Table1[[#This Row],[Date]],"mmmm")</f>
        <v>June</v>
      </c>
      <c r="C196" s="14">
        <v>46180</v>
      </c>
      <c r="D196" s="2" t="s">
        <v>410</v>
      </c>
      <c r="E196" s="2" t="s">
        <v>40</v>
      </c>
      <c r="F196" s="2" t="s">
        <v>48</v>
      </c>
      <c r="G196" s="2" t="s">
        <v>17</v>
      </c>
      <c r="H196" s="2">
        <v>4</v>
      </c>
      <c r="I196" s="31">
        <v>501</v>
      </c>
      <c r="J196" s="3">
        <v>0.18</v>
      </c>
      <c r="K196" s="31">
        <v>1643</v>
      </c>
      <c r="L196" s="2" t="s">
        <v>24</v>
      </c>
      <c r="M196" s="2" t="s">
        <v>19</v>
      </c>
      <c r="N196" s="35">
        <v>262</v>
      </c>
    </row>
    <row r="197" spans="1:14" x14ac:dyDescent="0.3">
      <c r="A197" s="4" t="s">
        <v>411</v>
      </c>
      <c r="B197" s="4" t="str">
        <f>TEXT(Table1[[#This Row],[Date]],"mmmm")</f>
        <v>March</v>
      </c>
      <c r="C197" s="14">
        <v>46094</v>
      </c>
      <c r="D197" s="2" t="s">
        <v>412</v>
      </c>
      <c r="E197" s="2" t="s">
        <v>22</v>
      </c>
      <c r="F197" s="2" t="s">
        <v>74</v>
      </c>
      <c r="G197" s="2" t="s">
        <v>17</v>
      </c>
      <c r="H197" s="2">
        <v>4</v>
      </c>
      <c r="I197" s="31">
        <v>374</v>
      </c>
      <c r="J197" s="3">
        <v>0.06</v>
      </c>
      <c r="K197" s="31">
        <v>1406</v>
      </c>
      <c r="L197" s="2" t="s">
        <v>29</v>
      </c>
      <c r="M197" s="2" t="s">
        <v>54</v>
      </c>
      <c r="N197" s="35">
        <v>351</v>
      </c>
    </row>
    <row r="198" spans="1:14" x14ac:dyDescent="0.3">
      <c r="A198" s="4" t="s">
        <v>413</v>
      </c>
      <c r="B198" s="4" t="str">
        <f>TEXT(Table1[[#This Row],[Date]],"mmmm")</f>
        <v>September</v>
      </c>
      <c r="C198" s="14">
        <v>46280</v>
      </c>
      <c r="D198" s="2" t="s">
        <v>414</v>
      </c>
      <c r="E198" s="2" t="s">
        <v>27</v>
      </c>
      <c r="F198" s="2" t="s">
        <v>36</v>
      </c>
      <c r="G198" s="2" t="s">
        <v>17</v>
      </c>
      <c r="H198" s="2">
        <v>3</v>
      </c>
      <c r="I198" s="31">
        <v>548</v>
      </c>
      <c r="J198" s="3">
        <v>0.13</v>
      </c>
      <c r="K198" s="31">
        <v>1430</v>
      </c>
      <c r="L198" s="2" t="s">
        <v>29</v>
      </c>
      <c r="M198" s="2" t="s">
        <v>30</v>
      </c>
      <c r="N198" s="35">
        <v>257</v>
      </c>
    </row>
    <row r="199" spans="1:14" x14ac:dyDescent="0.3">
      <c r="A199" s="4" t="s">
        <v>415</v>
      </c>
      <c r="B199" s="4" t="str">
        <f>TEXT(Table1[[#This Row],[Date]],"mmmm")</f>
        <v>February</v>
      </c>
      <c r="C199" s="14">
        <v>46056</v>
      </c>
      <c r="D199" s="2" t="s">
        <v>376</v>
      </c>
      <c r="E199" s="2" t="s">
        <v>40</v>
      </c>
      <c r="F199" s="2" t="s">
        <v>41</v>
      </c>
      <c r="G199" s="2" t="s">
        <v>17</v>
      </c>
      <c r="H199" s="2">
        <v>3</v>
      </c>
      <c r="I199" s="31">
        <v>746</v>
      </c>
      <c r="J199" s="3">
        <v>0.1</v>
      </c>
      <c r="K199" s="31">
        <v>2014</v>
      </c>
      <c r="L199" s="2" t="s">
        <v>24</v>
      </c>
      <c r="M199" s="2" t="s">
        <v>30</v>
      </c>
      <c r="N199" s="35">
        <v>362</v>
      </c>
    </row>
    <row r="200" spans="1:14" x14ac:dyDescent="0.3">
      <c r="A200" s="4" t="s">
        <v>416</v>
      </c>
      <c r="B200" s="4" t="str">
        <f>TEXT(Table1[[#This Row],[Date]],"mmmm")</f>
        <v>December</v>
      </c>
      <c r="C200" s="14">
        <v>46364</v>
      </c>
      <c r="D200" s="2" t="s">
        <v>417</v>
      </c>
      <c r="E200" s="2" t="s">
        <v>40</v>
      </c>
      <c r="F200" s="2" t="s">
        <v>74</v>
      </c>
      <c r="G200" s="2" t="s">
        <v>17</v>
      </c>
      <c r="H200" s="2">
        <v>1</v>
      </c>
      <c r="I200" s="31">
        <v>783</v>
      </c>
      <c r="J200" s="3">
        <v>0.2</v>
      </c>
      <c r="K200" s="31">
        <v>626</v>
      </c>
      <c r="L200" s="2" t="s">
        <v>29</v>
      </c>
      <c r="M200" s="2" t="s">
        <v>30</v>
      </c>
      <c r="N200" s="35">
        <v>150</v>
      </c>
    </row>
    <row r="201" spans="1:14" x14ac:dyDescent="0.3">
      <c r="A201" s="4" t="s">
        <v>418</v>
      </c>
      <c r="B201" s="4" t="str">
        <f>TEXT(Table1[[#This Row],[Date]],"mmmm")</f>
        <v>July</v>
      </c>
      <c r="C201" s="14">
        <v>46208</v>
      </c>
      <c r="D201" s="2" t="s">
        <v>419</v>
      </c>
      <c r="E201" s="2" t="s">
        <v>22</v>
      </c>
      <c r="F201" s="2" t="s">
        <v>53</v>
      </c>
      <c r="G201" s="2" t="s">
        <v>17</v>
      </c>
      <c r="H201" s="2">
        <v>1</v>
      </c>
      <c r="I201" s="31">
        <v>615</v>
      </c>
      <c r="J201" s="3">
        <v>0.2</v>
      </c>
      <c r="K201" s="31">
        <v>492</v>
      </c>
      <c r="L201" s="2" t="s">
        <v>24</v>
      </c>
      <c r="M201" s="2" t="s">
        <v>54</v>
      </c>
      <c r="N201" s="35">
        <v>68</v>
      </c>
    </row>
    <row r="202" spans="1:14" x14ac:dyDescent="0.3">
      <c r="A202" s="4" t="s">
        <v>420</v>
      </c>
      <c r="B202" s="4" t="str">
        <f>TEXT(Table1[[#This Row],[Date]],"mmmm")</f>
        <v>July</v>
      </c>
      <c r="C202" s="14">
        <v>46224</v>
      </c>
      <c r="D202" s="2" t="s">
        <v>421</v>
      </c>
      <c r="E202" s="2" t="s">
        <v>22</v>
      </c>
      <c r="F202" s="2" t="s">
        <v>33</v>
      </c>
      <c r="G202" s="2" t="s">
        <v>17</v>
      </c>
      <c r="H202" s="2">
        <v>3</v>
      </c>
      <c r="I202" s="31">
        <v>407</v>
      </c>
      <c r="J202" s="3">
        <v>0.03</v>
      </c>
      <c r="K202" s="31">
        <v>1184</v>
      </c>
      <c r="L202" s="2" t="s">
        <v>37</v>
      </c>
      <c r="M202" s="2" t="s">
        <v>19</v>
      </c>
      <c r="N202" s="35">
        <v>367</v>
      </c>
    </row>
    <row r="203" spans="1:14" x14ac:dyDescent="0.3">
      <c r="A203" s="4" t="s">
        <v>422</v>
      </c>
      <c r="B203" s="4" t="str">
        <f>TEXT(Table1[[#This Row],[Date]],"mmmm")</f>
        <v>December</v>
      </c>
      <c r="C203" s="14">
        <v>46379</v>
      </c>
      <c r="D203" s="2" t="s">
        <v>423</v>
      </c>
      <c r="E203" s="2" t="s">
        <v>40</v>
      </c>
      <c r="F203" s="2" t="s">
        <v>41</v>
      </c>
      <c r="G203" s="2" t="s">
        <v>17</v>
      </c>
      <c r="H203" s="2">
        <v>5</v>
      </c>
      <c r="I203" s="31">
        <v>495</v>
      </c>
      <c r="J203" s="3">
        <v>0.04</v>
      </c>
      <c r="K203" s="31">
        <v>2376</v>
      </c>
      <c r="L203" s="2" t="s">
        <v>37</v>
      </c>
      <c r="M203" s="2" t="s">
        <v>19</v>
      </c>
      <c r="N203" s="35">
        <v>784</v>
      </c>
    </row>
    <row r="204" spans="1:14" x14ac:dyDescent="0.3">
      <c r="A204" s="4" t="s">
        <v>424</v>
      </c>
      <c r="B204" s="4" t="str">
        <f>TEXT(Table1[[#This Row],[Date]],"mmmm")</f>
        <v>April</v>
      </c>
      <c r="C204" s="14">
        <v>46123</v>
      </c>
      <c r="D204" s="2" t="s">
        <v>425</v>
      </c>
      <c r="E204" s="2" t="s">
        <v>27</v>
      </c>
      <c r="F204" s="2" t="s">
        <v>36</v>
      </c>
      <c r="G204" s="2" t="s">
        <v>17</v>
      </c>
      <c r="H204" s="2">
        <v>3</v>
      </c>
      <c r="I204" s="31">
        <v>695</v>
      </c>
      <c r="J204" s="3">
        <v>0.02</v>
      </c>
      <c r="K204" s="31">
        <v>2043</v>
      </c>
      <c r="L204" s="2" t="s">
        <v>24</v>
      </c>
      <c r="M204" s="2" t="s">
        <v>19</v>
      </c>
      <c r="N204" s="35">
        <v>367</v>
      </c>
    </row>
    <row r="205" spans="1:14" x14ac:dyDescent="0.3">
      <c r="A205" s="4" t="s">
        <v>426</v>
      </c>
      <c r="B205" s="4" t="str">
        <f>TEXT(Table1[[#This Row],[Date]],"mmmm")</f>
        <v>March</v>
      </c>
      <c r="C205" s="14">
        <v>46090</v>
      </c>
      <c r="D205" s="2" t="s">
        <v>427</v>
      </c>
      <c r="E205" s="2" t="s">
        <v>70</v>
      </c>
      <c r="F205" s="2" t="s">
        <v>41</v>
      </c>
      <c r="G205" s="2" t="s">
        <v>17</v>
      </c>
      <c r="H205" s="2">
        <v>1</v>
      </c>
      <c r="I205" s="31">
        <v>800</v>
      </c>
      <c r="J205" s="3">
        <v>0.03</v>
      </c>
      <c r="K205" s="31">
        <v>776</v>
      </c>
      <c r="L205" s="2" t="s">
        <v>37</v>
      </c>
      <c r="M205" s="2" t="s">
        <v>19</v>
      </c>
      <c r="N205" s="35">
        <v>131</v>
      </c>
    </row>
    <row r="206" spans="1:14" x14ac:dyDescent="0.3">
      <c r="A206" s="4" t="s">
        <v>428</v>
      </c>
      <c r="B206" s="4" t="str">
        <f>TEXT(Table1[[#This Row],[Date]],"mmmm")</f>
        <v>June</v>
      </c>
      <c r="C206" s="14">
        <v>46183</v>
      </c>
      <c r="D206" s="2" t="s">
        <v>429</v>
      </c>
      <c r="E206" s="2" t="s">
        <v>27</v>
      </c>
      <c r="F206" s="2" t="s">
        <v>36</v>
      </c>
      <c r="G206" s="2" t="s">
        <v>17</v>
      </c>
      <c r="H206" s="2">
        <v>2</v>
      </c>
      <c r="I206" s="31">
        <v>151</v>
      </c>
      <c r="J206" s="3">
        <v>0.14000000000000001</v>
      </c>
      <c r="K206" s="31">
        <v>259</v>
      </c>
      <c r="L206" s="2" t="s">
        <v>18</v>
      </c>
      <c r="M206" s="2" t="s">
        <v>54</v>
      </c>
      <c r="N206" s="35">
        <v>56</v>
      </c>
    </row>
    <row r="207" spans="1:14" x14ac:dyDescent="0.3">
      <c r="A207" s="4" t="s">
        <v>430</v>
      </c>
      <c r="B207" s="4" t="str">
        <f>TEXT(Table1[[#This Row],[Date]],"mmmm")</f>
        <v>December</v>
      </c>
      <c r="C207" s="14">
        <v>46378</v>
      </c>
      <c r="D207" s="2" t="s">
        <v>431</v>
      </c>
      <c r="E207" s="2" t="s">
        <v>70</v>
      </c>
      <c r="F207" s="2" t="s">
        <v>28</v>
      </c>
      <c r="G207" s="2" t="s">
        <v>17</v>
      </c>
      <c r="H207" s="2">
        <v>2</v>
      </c>
      <c r="I207" s="31">
        <v>420</v>
      </c>
      <c r="J207" s="3">
        <v>0.15</v>
      </c>
      <c r="K207" s="31">
        <v>714</v>
      </c>
      <c r="L207" s="2" t="s">
        <v>29</v>
      </c>
      <c r="M207" s="2" t="s">
        <v>54</v>
      </c>
      <c r="N207" s="35">
        <v>135</v>
      </c>
    </row>
    <row r="208" spans="1:14" x14ac:dyDescent="0.3">
      <c r="A208" s="4" t="s">
        <v>432</v>
      </c>
      <c r="B208" s="4" t="str">
        <f>TEXT(Table1[[#This Row],[Date]],"mmmm")</f>
        <v>April</v>
      </c>
      <c r="C208" s="14">
        <v>46113</v>
      </c>
      <c r="D208" s="2" t="s">
        <v>433</v>
      </c>
      <c r="E208" s="2" t="s">
        <v>27</v>
      </c>
      <c r="F208" s="2" t="s">
        <v>67</v>
      </c>
      <c r="G208" s="2" t="s">
        <v>17</v>
      </c>
      <c r="H208" s="2">
        <v>4</v>
      </c>
      <c r="I208" s="31">
        <v>786</v>
      </c>
      <c r="J208" s="3">
        <v>0.14000000000000001</v>
      </c>
      <c r="K208" s="31">
        <v>2703</v>
      </c>
      <c r="L208" s="2" t="s">
        <v>18</v>
      </c>
      <c r="M208" s="2" t="s">
        <v>19</v>
      </c>
      <c r="N208" s="35">
        <v>486</v>
      </c>
    </row>
    <row r="209" spans="1:14" x14ac:dyDescent="0.3">
      <c r="A209" s="4" t="s">
        <v>434</v>
      </c>
      <c r="B209" s="4" t="str">
        <f>TEXT(Table1[[#This Row],[Date]],"mmmm")</f>
        <v>March</v>
      </c>
      <c r="C209" s="14">
        <v>46100</v>
      </c>
      <c r="D209" s="2" t="s">
        <v>435</v>
      </c>
      <c r="E209" s="2" t="s">
        <v>40</v>
      </c>
      <c r="F209" s="2" t="s">
        <v>48</v>
      </c>
      <c r="G209" s="2" t="s">
        <v>17</v>
      </c>
      <c r="H209" s="2">
        <v>4</v>
      </c>
      <c r="I209" s="31">
        <v>488</v>
      </c>
      <c r="J209" s="3">
        <v>0.08</v>
      </c>
      <c r="K209" s="31">
        <v>1795</v>
      </c>
      <c r="L209" s="2" t="s">
        <v>18</v>
      </c>
      <c r="M209" s="2" t="s">
        <v>30</v>
      </c>
      <c r="N209" s="35">
        <v>215</v>
      </c>
    </row>
    <row r="210" spans="1:14" x14ac:dyDescent="0.3">
      <c r="A210" s="4" t="s">
        <v>436</v>
      </c>
      <c r="B210" s="4" t="str">
        <f>TEXT(Table1[[#This Row],[Date]],"mmmm")</f>
        <v>April</v>
      </c>
      <c r="C210" s="14">
        <v>46124</v>
      </c>
      <c r="D210" s="2" t="s">
        <v>437</v>
      </c>
      <c r="E210" s="2" t="s">
        <v>22</v>
      </c>
      <c r="F210" s="2" t="s">
        <v>74</v>
      </c>
      <c r="G210" s="2" t="s">
        <v>17</v>
      </c>
      <c r="H210" s="2">
        <v>1</v>
      </c>
      <c r="I210" s="31">
        <v>646</v>
      </c>
      <c r="J210" s="3">
        <v>0.18</v>
      </c>
      <c r="K210" s="31">
        <v>529</v>
      </c>
      <c r="L210" s="2" t="s">
        <v>37</v>
      </c>
      <c r="M210" s="2" t="s">
        <v>54</v>
      </c>
      <c r="N210" s="35">
        <v>111</v>
      </c>
    </row>
    <row r="211" spans="1:14" x14ac:dyDescent="0.3">
      <c r="A211" s="4" t="s">
        <v>438</v>
      </c>
      <c r="B211" s="4" t="str">
        <f>TEXT(Table1[[#This Row],[Date]],"mmmm")</f>
        <v>October</v>
      </c>
      <c r="C211" s="14">
        <v>46307</v>
      </c>
      <c r="D211" s="2" t="s">
        <v>439</v>
      </c>
      <c r="E211" s="2" t="s">
        <v>70</v>
      </c>
      <c r="F211" s="2" t="s">
        <v>74</v>
      </c>
      <c r="G211" s="2" t="s">
        <v>17</v>
      </c>
      <c r="H211" s="2">
        <v>3</v>
      </c>
      <c r="I211" s="31">
        <v>783</v>
      </c>
      <c r="J211" s="3">
        <v>0.09</v>
      </c>
      <c r="K211" s="31">
        <v>2137</v>
      </c>
      <c r="L211" s="2" t="s">
        <v>18</v>
      </c>
      <c r="M211" s="2" t="s">
        <v>30</v>
      </c>
      <c r="N211" s="35">
        <v>384</v>
      </c>
    </row>
    <row r="212" spans="1:14" x14ac:dyDescent="0.3">
      <c r="A212" s="4" t="s">
        <v>440</v>
      </c>
      <c r="B212" s="4" t="str">
        <f>TEXT(Table1[[#This Row],[Date]],"mmmm")</f>
        <v>March</v>
      </c>
      <c r="C212" s="14">
        <v>46088</v>
      </c>
      <c r="D212" s="2" t="s">
        <v>441</v>
      </c>
      <c r="E212" s="2" t="s">
        <v>22</v>
      </c>
      <c r="F212" s="2" t="s">
        <v>23</v>
      </c>
      <c r="G212" s="2" t="s">
        <v>17</v>
      </c>
      <c r="H212" s="2">
        <v>5</v>
      </c>
      <c r="I212" s="31">
        <v>113</v>
      </c>
      <c r="J212" s="3">
        <v>0.14000000000000001</v>
      </c>
      <c r="K212" s="31">
        <v>485</v>
      </c>
      <c r="L212" s="2" t="s">
        <v>37</v>
      </c>
      <c r="M212" s="2" t="s">
        <v>19</v>
      </c>
      <c r="N212" s="35">
        <v>67</v>
      </c>
    </row>
    <row r="213" spans="1:14" x14ac:dyDescent="0.3">
      <c r="A213" s="4" t="s">
        <v>442</v>
      </c>
      <c r="B213" s="4" t="str">
        <f>TEXT(Table1[[#This Row],[Date]],"mmmm")</f>
        <v>March</v>
      </c>
      <c r="C213" s="14">
        <v>46104</v>
      </c>
      <c r="D213" s="2" t="s">
        <v>443</v>
      </c>
      <c r="E213" s="2" t="s">
        <v>15</v>
      </c>
      <c r="F213" s="2" t="s">
        <v>16</v>
      </c>
      <c r="G213" s="2" t="s">
        <v>17</v>
      </c>
      <c r="H213" s="2">
        <v>5</v>
      </c>
      <c r="I213" s="31">
        <v>417</v>
      </c>
      <c r="J213" s="3">
        <v>0.03</v>
      </c>
      <c r="K213" s="31">
        <v>2022</v>
      </c>
      <c r="L213" s="2" t="s">
        <v>18</v>
      </c>
      <c r="M213" s="2" t="s">
        <v>30</v>
      </c>
      <c r="N213" s="35">
        <v>202</v>
      </c>
    </row>
    <row r="214" spans="1:14" x14ac:dyDescent="0.3">
      <c r="A214" s="4" t="s">
        <v>444</v>
      </c>
      <c r="B214" s="4" t="str">
        <f>TEXT(Table1[[#This Row],[Date]],"mmmm")</f>
        <v>August</v>
      </c>
      <c r="C214" s="14">
        <v>46241</v>
      </c>
      <c r="D214" s="2" t="s">
        <v>94</v>
      </c>
      <c r="E214" s="2" t="s">
        <v>70</v>
      </c>
      <c r="F214" s="2" t="s">
        <v>41</v>
      </c>
      <c r="G214" s="2" t="s">
        <v>17</v>
      </c>
      <c r="H214" s="2">
        <v>4</v>
      </c>
      <c r="I214" s="31">
        <v>523</v>
      </c>
      <c r="J214" s="3">
        <v>0.01</v>
      </c>
      <c r="K214" s="31">
        <v>2071</v>
      </c>
      <c r="L214" s="2" t="s">
        <v>37</v>
      </c>
      <c r="M214" s="2" t="s">
        <v>54</v>
      </c>
      <c r="N214" s="35">
        <v>538</v>
      </c>
    </row>
    <row r="215" spans="1:14" x14ac:dyDescent="0.3">
      <c r="A215" s="4" t="s">
        <v>445</v>
      </c>
      <c r="B215" s="4" t="str">
        <f>TEXT(Table1[[#This Row],[Date]],"mmmm")</f>
        <v>May</v>
      </c>
      <c r="C215" s="14">
        <v>46151</v>
      </c>
      <c r="D215" s="2" t="s">
        <v>446</v>
      </c>
      <c r="E215" s="2" t="s">
        <v>15</v>
      </c>
      <c r="F215" s="2" t="s">
        <v>41</v>
      </c>
      <c r="G215" s="2" t="s">
        <v>17</v>
      </c>
      <c r="H215" s="2">
        <v>3</v>
      </c>
      <c r="I215" s="31">
        <v>481</v>
      </c>
      <c r="J215" s="3">
        <v>0.14000000000000001</v>
      </c>
      <c r="K215" s="31">
        <v>1240</v>
      </c>
      <c r="L215" s="2" t="s">
        <v>29</v>
      </c>
      <c r="M215" s="2" t="s">
        <v>30</v>
      </c>
      <c r="N215" s="35">
        <v>198</v>
      </c>
    </row>
    <row r="216" spans="1:14" x14ac:dyDescent="0.3">
      <c r="A216" s="4" t="s">
        <v>447</v>
      </c>
      <c r="B216" s="4" t="str">
        <f>TEXT(Table1[[#This Row],[Date]],"mmmm")</f>
        <v>March</v>
      </c>
      <c r="C216" s="14">
        <v>46108</v>
      </c>
      <c r="D216" s="2" t="s">
        <v>225</v>
      </c>
      <c r="E216" s="2" t="s">
        <v>40</v>
      </c>
      <c r="F216" s="2" t="s">
        <v>71</v>
      </c>
      <c r="G216" s="2" t="s">
        <v>17</v>
      </c>
      <c r="H216" s="2">
        <v>2</v>
      </c>
      <c r="I216" s="31">
        <v>338</v>
      </c>
      <c r="J216" s="3">
        <v>0.11</v>
      </c>
      <c r="K216" s="31">
        <v>601</v>
      </c>
      <c r="L216" s="2" t="s">
        <v>18</v>
      </c>
      <c r="M216" s="2" t="s">
        <v>54</v>
      </c>
      <c r="N216" s="35">
        <v>132</v>
      </c>
    </row>
    <row r="217" spans="1:14" x14ac:dyDescent="0.3">
      <c r="A217" s="4" t="s">
        <v>448</v>
      </c>
      <c r="B217" s="4" t="str">
        <f>TEXT(Table1[[#This Row],[Date]],"mmmm")</f>
        <v>June</v>
      </c>
      <c r="C217" s="14">
        <v>46180</v>
      </c>
      <c r="D217" s="2" t="s">
        <v>39</v>
      </c>
      <c r="E217" s="2" t="s">
        <v>15</v>
      </c>
      <c r="F217" s="2" t="s">
        <v>71</v>
      </c>
      <c r="G217" s="2" t="s">
        <v>17</v>
      </c>
      <c r="H217" s="2">
        <v>2</v>
      </c>
      <c r="I217" s="31">
        <v>107</v>
      </c>
      <c r="J217" s="3">
        <v>0.05</v>
      </c>
      <c r="K217" s="31">
        <v>203</v>
      </c>
      <c r="L217" s="2" t="s">
        <v>24</v>
      </c>
      <c r="M217" s="2" t="s">
        <v>30</v>
      </c>
      <c r="N217" s="35">
        <v>62</v>
      </c>
    </row>
    <row r="218" spans="1:14" x14ac:dyDescent="0.3">
      <c r="A218" s="4" t="s">
        <v>449</v>
      </c>
      <c r="B218" s="4" t="str">
        <f>TEXT(Table1[[#This Row],[Date]],"mmmm")</f>
        <v>September</v>
      </c>
      <c r="C218" s="14">
        <v>46282</v>
      </c>
      <c r="D218" s="2" t="s">
        <v>419</v>
      </c>
      <c r="E218" s="2" t="s">
        <v>70</v>
      </c>
      <c r="F218" s="2" t="s">
        <v>41</v>
      </c>
      <c r="G218" s="2" t="s">
        <v>17</v>
      </c>
      <c r="H218" s="2">
        <v>1</v>
      </c>
      <c r="I218" s="31">
        <v>321</v>
      </c>
      <c r="J218" s="3">
        <v>0.15</v>
      </c>
      <c r="K218" s="31">
        <v>272</v>
      </c>
      <c r="L218" s="2" t="s">
        <v>37</v>
      </c>
      <c r="M218" s="2" t="s">
        <v>54</v>
      </c>
      <c r="N218" s="35">
        <v>92</v>
      </c>
    </row>
    <row r="219" spans="1:14" x14ac:dyDescent="0.3">
      <c r="A219" s="4" t="s">
        <v>450</v>
      </c>
      <c r="B219" s="4" t="str">
        <f>TEXT(Table1[[#This Row],[Date]],"mmmm")</f>
        <v>June</v>
      </c>
      <c r="C219" s="14">
        <v>46178</v>
      </c>
      <c r="D219" s="2" t="s">
        <v>451</v>
      </c>
      <c r="E219" s="2" t="s">
        <v>22</v>
      </c>
      <c r="F219" s="2" t="s">
        <v>74</v>
      </c>
      <c r="G219" s="2" t="s">
        <v>17</v>
      </c>
      <c r="H219" s="2">
        <v>1</v>
      </c>
      <c r="I219" s="31">
        <v>135</v>
      </c>
      <c r="J219" s="3">
        <v>0.06</v>
      </c>
      <c r="K219" s="31">
        <v>126</v>
      </c>
      <c r="L219" s="2" t="s">
        <v>18</v>
      </c>
      <c r="M219" s="2" t="s">
        <v>54</v>
      </c>
      <c r="N219" s="35">
        <v>23</v>
      </c>
    </row>
    <row r="220" spans="1:14" x14ac:dyDescent="0.3">
      <c r="A220" s="4" t="s">
        <v>452</v>
      </c>
      <c r="B220" s="4" t="str">
        <f>TEXT(Table1[[#This Row],[Date]],"mmmm")</f>
        <v>March</v>
      </c>
      <c r="C220" s="14">
        <v>46090</v>
      </c>
      <c r="D220" s="2" t="s">
        <v>453</v>
      </c>
      <c r="E220" s="2" t="s">
        <v>40</v>
      </c>
      <c r="F220" s="2" t="s">
        <v>67</v>
      </c>
      <c r="G220" s="2" t="s">
        <v>17</v>
      </c>
      <c r="H220" s="2">
        <v>5</v>
      </c>
      <c r="I220" s="31">
        <v>675</v>
      </c>
      <c r="J220" s="3">
        <v>0.17</v>
      </c>
      <c r="K220" s="31">
        <v>2801</v>
      </c>
      <c r="L220" s="2" t="s">
        <v>18</v>
      </c>
      <c r="M220" s="2" t="s">
        <v>19</v>
      </c>
      <c r="N220" s="35">
        <v>868</v>
      </c>
    </row>
    <row r="221" spans="1:14" x14ac:dyDescent="0.3">
      <c r="A221" s="4" t="s">
        <v>454</v>
      </c>
      <c r="B221" s="4" t="str">
        <f>TEXT(Table1[[#This Row],[Date]],"mmmm")</f>
        <v>July</v>
      </c>
      <c r="C221" s="14">
        <v>46222</v>
      </c>
      <c r="D221" s="2" t="s">
        <v>455</v>
      </c>
      <c r="E221" s="2" t="s">
        <v>15</v>
      </c>
      <c r="F221" s="2" t="s">
        <v>36</v>
      </c>
      <c r="G221" s="2" t="s">
        <v>17</v>
      </c>
      <c r="H221" s="2">
        <v>1</v>
      </c>
      <c r="I221" s="31">
        <v>587</v>
      </c>
      <c r="J221" s="3">
        <v>0.04</v>
      </c>
      <c r="K221" s="31">
        <v>563</v>
      </c>
      <c r="L221" s="2" t="s">
        <v>18</v>
      </c>
      <c r="M221" s="2" t="s">
        <v>30</v>
      </c>
      <c r="N221" s="35">
        <v>135</v>
      </c>
    </row>
    <row r="222" spans="1:14" x14ac:dyDescent="0.3">
      <c r="A222" s="4" t="s">
        <v>456</v>
      </c>
      <c r="B222" s="4" t="str">
        <f>TEXT(Table1[[#This Row],[Date]],"mmmm")</f>
        <v>February</v>
      </c>
      <c r="C222" s="14">
        <v>46060</v>
      </c>
      <c r="D222" s="2" t="s">
        <v>457</v>
      </c>
      <c r="E222" s="2" t="s">
        <v>70</v>
      </c>
      <c r="F222" s="2" t="s">
        <v>74</v>
      </c>
      <c r="G222" s="2" t="s">
        <v>17</v>
      </c>
      <c r="H222" s="2">
        <v>2</v>
      </c>
      <c r="I222" s="31">
        <v>168</v>
      </c>
      <c r="J222" s="3">
        <v>0.15</v>
      </c>
      <c r="K222" s="31">
        <v>285</v>
      </c>
      <c r="L222" s="2" t="s">
        <v>18</v>
      </c>
      <c r="M222" s="2" t="s">
        <v>30</v>
      </c>
      <c r="N222" s="35">
        <v>42</v>
      </c>
    </row>
    <row r="223" spans="1:14" x14ac:dyDescent="0.3">
      <c r="A223" s="4" t="s">
        <v>458</v>
      </c>
      <c r="B223" s="4" t="str">
        <f>TEXT(Table1[[#This Row],[Date]],"mmmm")</f>
        <v>March</v>
      </c>
      <c r="C223" s="14">
        <v>46105</v>
      </c>
      <c r="D223" s="2" t="s">
        <v>120</v>
      </c>
      <c r="E223" s="2" t="s">
        <v>40</v>
      </c>
      <c r="F223" s="2" t="s">
        <v>67</v>
      </c>
      <c r="G223" s="2" t="s">
        <v>17</v>
      </c>
      <c r="H223" s="2">
        <v>5</v>
      </c>
      <c r="I223" s="31">
        <v>539</v>
      </c>
      <c r="J223" s="3">
        <v>0.06</v>
      </c>
      <c r="K223" s="31">
        <v>2533</v>
      </c>
      <c r="L223" s="2" t="s">
        <v>24</v>
      </c>
      <c r="M223" s="2" t="s">
        <v>19</v>
      </c>
      <c r="N223" s="35">
        <v>430</v>
      </c>
    </row>
    <row r="224" spans="1:14" x14ac:dyDescent="0.3">
      <c r="A224" s="4" t="s">
        <v>459</v>
      </c>
      <c r="B224" s="4" t="str">
        <f>TEXT(Table1[[#This Row],[Date]],"mmmm")</f>
        <v>March</v>
      </c>
      <c r="C224" s="14">
        <v>46107</v>
      </c>
      <c r="D224" s="2" t="s">
        <v>460</v>
      </c>
      <c r="E224" s="2" t="s">
        <v>15</v>
      </c>
      <c r="F224" s="2" t="s">
        <v>23</v>
      </c>
      <c r="G224" s="2" t="s">
        <v>17</v>
      </c>
      <c r="H224" s="2">
        <v>4</v>
      </c>
      <c r="I224" s="31">
        <v>563</v>
      </c>
      <c r="J224" s="3">
        <v>0</v>
      </c>
      <c r="K224" s="31">
        <v>2252</v>
      </c>
      <c r="L224" s="2" t="s">
        <v>37</v>
      </c>
      <c r="M224" s="2" t="s">
        <v>54</v>
      </c>
      <c r="N224" s="35">
        <v>720</v>
      </c>
    </row>
    <row r="225" spans="1:14" x14ac:dyDescent="0.3">
      <c r="A225" s="4" t="s">
        <v>461</v>
      </c>
      <c r="B225" s="4" t="str">
        <f>TEXT(Table1[[#This Row],[Date]],"mmmm")</f>
        <v>October</v>
      </c>
      <c r="C225" s="14">
        <v>46301</v>
      </c>
      <c r="D225" s="2" t="s">
        <v>462</v>
      </c>
      <c r="E225" s="2" t="s">
        <v>22</v>
      </c>
      <c r="F225" s="2" t="s">
        <v>23</v>
      </c>
      <c r="G225" s="2" t="s">
        <v>17</v>
      </c>
      <c r="H225" s="2">
        <v>1</v>
      </c>
      <c r="I225" s="31">
        <v>305</v>
      </c>
      <c r="J225" s="3">
        <v>0.16</v>
      </c>
      <c r="K225" s="31">
        <v>256</v>
      </c>
      <c r="L225" s="2" t="s">
        <v>37</v>
      </c>
      <c r="M225" s="2" t="s">
        <v>30</v>
      </c>
      <c r="N225" s="35">
        <v>33</v>
      </c>
    </row>
    <row r="226" spans="1:14" x14ac:dyDescent="0.3">
      <c r="A226" s="4" t="s">
        <v>463</v>
      </c>
      <c r="B226" s="4" t="str">
        <f>TEXT(Table1[[#This Row],[Date]],"mmmm")</f>
        <v>April</v>
      </c>
      <c r="C226" s="14">
        <v>46113</v>
      </c>
      <c r="D226" s="2" t="s">
        <v>464</v>
      </c>
      <c r="E226" s="2" t="s">
        <v>15</v>
      </c>
      <c r="F226" s="2" t="s">
        <v>71</v>
      </c>
      <c r="G226" s="2" t="s">
        <v>17</v>
      </c>
      <c r="H226" s="2">
        <v>1</v>
      </c>
      <c r="I226" s="31">
        <v>376</v>
      </c>
      <c r="J226" s="3">
        <v>0.19</v>
      </c>
      <c r="K226" s="31">
        <v>304</v>
      </c>
      <c r="L226" s="2" t="s">
        <v>29</v>
      </c>
      <c r="M226" s="2" t="s">
        <v>30</v>
      </c>
      <c r="N226" s="35">
        <v>33</v>
      </c>
    </row>
    <row r="227" spans="1:14" x14ac:dyDescent="0.3">
      <c r="A227" s="4" t="s">
        <v>465</v>
      </c>
      <c r="B227" s="4" t="str">
        <f>TEXT(Table1[[#This Row],[Date]],"mmmm")</f>
        <v>May</v>
      </c>
      <c r="C227" s="14">
        <v>46156</v>
      </c>
      <c r="D227" s="2" t="s">
        <v>466</v>
      </c>
      <c r="E227" s="2" t="s">
        <v>70</v>
      </c>
      <c r="F227" s="2" t="s">
        <v>33</v>
      </c>
      <c r="G227" s="2" t="s">
        <v>17</v>
      </c>
      <c r="H227" s="2">
        <v>5</v>
      </c>
      <c r="I227" s="31">
        <v>555</v>
      </c>
      <c r="J227" s="3">
        <v>0.15</v>
      </c>
      <c r="K227" s="31">
        <v>2358</v>
      </c>
      <c r="L227" s="2" t="s">
        <v>37</v>
      </c>
      <c r="M227" s="2" t="s">
        <v>19</v>
      </c>
      <c r="N227" s="35">
        <v>400</v>
      </c>
    </row>
    <row r="228" spans="1:14" x14ac:dyDescent="0.3">
      <c r="A228" s="4" t="s">
        <v>467</v>
      </c>
      <c r="B228" s="4" t="str">
        <f>TEXT(Table1[[#This Row],[Date]],"mmmm")</f>
        <v>November</v>
      </c>
      <c r="C228" s="14">
        <v>46346</v>
      </c>
      <c r="D228" s="2" t="s">
        <v>468</v>
      </c>
      <c r="E228" s="2" t="s">
        <v>70</v>
      </c>
      <c r="F228" s="2" t="s">
        <v>23</v>
      </c>
      <c r="G228" s="2" t="s">
        <v>17</v>
      </c>
      <c r="H228" s="2">
        <v>4</v>
      </c>
      <c r="I228" s="31">
        <v>608</v>
      </c>
      <c r="J228" s="3">
        <v>0.15</v>
      </c>
      <c r="K228" s="31">
        <v>2067</v>
      </c>
      <c r="L228" s="2" t="s">
        <v>18</v>
      </c>
      <c r="M228" s="2" t="s">
        <v>54</v>
      </c>
      <c r="N228" s="35">
        <v>578</v>
      </c>
    </row>
    <row r="229" spans="1:14" x14ac:dyDescent="0.3">
      <c r="A229" s="4" t="s">
        <v>469</v>
      </c>
      <c r="B229" s="4" t="str">
        <f>TEXT(Table1[[#This Row],[Date]],"mmmm")</f>
        <v>May</v>
      </c>
      <c r="C229" s="14">
        <v>46151</v>
      </c>
      <c r="D229" s="2" t="s">
        <v>470</v>
      </c>
      <c r="E229" s="2" t="s">
        <v>15</v>
      </c>
      <c r="F229" s="2" t="s">
        <v>74</v>
      </c>
      <c r="G229" s="2" t="s">
        <v>17</v>
      </c>
      <c r="H229" s="2">
        <v>4</v>
      </c>
      <c r="I229" s="31">
        <v>158</v>
      </c>
      <c r="J229" s="3">
        <v>0.14000000000000001</v>
      </c>
      <c r="K229" s="31">
        <v>543</v>
      </c>
      <c r="L229" s="2" t="s">
        <v>29</v>
      </c>
      <c r="M229" s="2" t="s">
        <v>19</v>
      </c>
      <c r="N229" s="35">
        <v>108</v>
      </c>
    </row>
    <row r="230" spans="1:14" x14ac:dyDescent="0.3">
      <c r="A230" s="4" t="s">
        <v>471</v>
      </c>
      <c r="B230" s="4" t="str">
        <f>TEXT(Table1[[#This Row],[Date]],"mmmm")</f>
        <v>May</v>
      </c>
      <c r="C230" s="14">
        <v>46155</v>
      </c>
      <c r="D230" s="2" t="s">
        <v>472</v>
      </c>
      <c r="E230" s="2" t="s">
        <v>27</v>
      </c>
      <c r="F230" s="2" t="s">
        <v>71</v>
      </c>
      <c r="G230" s="2" t="s">
        <v>17</v>
      </c>
      <c r="H230" s="2">
        <v>4</v>
      </c>
      <c r="I230" s="31">
        <v>229</v>
      </c>
      <c r="J230" s="3">
        <v>0.05</v>
      </c>
      <c r="K230" s="31">
        <v>870</v>
      </c>
      <c r="L230" s="2" t="s">
        <v>24</v>
      </c>
      <c r="M230" s="2" t="s">
        <v>54</v>
      </c>
      <c r="N230" s="35">
        <v>104</v>
      </c>
    </row>
    <row r="231" spans="1:14" x14ac:dyDescent="0.3">
      <c r="A231" s="4" t="s">
        <v>473</v>
      </c>
      <c r="B231" s="4" t="str">
        <f>TEXT(Table1[[#This Row],[Date]],"mmmm")</f>
        <v>September</v>
      </c>
      <c r="C231" s="14">
        <v>46286</v>
      </c>
      <c r="D231" s="2" t="s">
        <v>474</v>
      </c>
      <c r="E231" s="2" t="s">
        <v>40</v>
      </c>
      <c r="F231" s="2" t="s">
        <v>23</v>
      </c>
      <c r="G231" s="2" t="s">
        <v>17</v>
      </c>
      <c r="H231" s="2">
        <v>5</v>
      </c>
      <c r="I231" s="31">
        <v>773</v>
      </c>
      <c r="J231" s="3">
        <v>0.15</v>
      </c>
      <c r="K231" s="31">
        <v>3285</v>
      </c>
      <c r="L231" s="2" t="s">
        <v>29</v>
      </c>
      <c r="M231" s="2" t="s">
        <v>19</v>
      </c>
      <c r="N231" s="35">
        <v>1116</v>
      </c>
    </row>
    <row r="232" spans="1:14" x14ac:dyDescent="0.3">
      <c r="A232" s="4" t="s">
        <v>475</v>
      </c>
      <c r="B232" s="4" t="str">
        <f>TEXT(Table1[[#This Row],[Date]],"mmmm")</f>
        <v>November</v>
      </c>
      <c r="C232" s="14">
        <v>46347</v>
      </c>
      <c r="D232" s="2" t="s">
        <v>300</v>
      </c>
      <c r="E232" s="2" t="s">
        <v>40</v>
      </c>
      <c r="F232" s="2" t="s">
        <v>36</v>
      </c>
      <c r="G232" s="2" t="s">
        <v>17</v>
      </c>
      <c r="H232" s="2">
        <v>1</v>
      </c>
      <c r="I232" s="31">
        <v>551</v>
      </c>
      <c r="J232" s="3">
        <v>0.11</v>
      </c>
      <c r="K232" s="31">
        <v>490</v>
      </c>
      <c r="L232" s="2" t="s">
        <v>37</v>
      </c>
      <c r="M232" s="2" t="s">
        <v>54</v>
      </c>
      <c r="N232" s="35">
        <v>107</v>
      </c>
    </row>
    <row r="233" spans="1:14" x14ac:dyDescent="0.3">
      <c r="A233" s="4" t="s">
        <v>476</v>
      </c>
      <c r="B233" s="4" t="str">
        <f>TEXT(Table1[[#This Row],[Date]],"mmmm")</f>
        <v>September</v>
      </c>
      <c r="C233" s="14">
        <v>46267</v>
      </c>
      <c r="D233" s="2" t="s">
        <v>477</v>
      </c>
      <c r="E233" s="2" t="s">
        <v>27</v>
      </c>
      <c r="F233" s="2" t="s">
        <v>16</v>
      </c>
      <c r="G233" s="2" t="s">
        <v>17</v>
      </c>
      <c r="H233" s="2">
        <v>5</v>
      </c>
      <c r="I233" s="31">
        <v>647</v>
      </c>
      <c r="J233" s="3">
        <v>0.02</v>
      </c>
      <c r="K233" s="31">
        <v>3170</v>
      </c>
      <c r="L233" s="2" t="s">
        <v>29</v>
      </c>
      <c r="M233" s="2" t="s">
        <v>54</v>
      </c>
      <c r="N233" s="35">
        <v>634</v>
      </c>
    </row>
    <row r="234" spans="1:14" x14ac:dyDescent="0.3">
      <c r="A234" s="4" t="s">
        <v>478</v>
      </c>
      <c r="B234" s="4" t="str">
        <f>TEXT(Table1[[#This Row],[Date]],"mmmm")</f>
        <v>December</v>
      </c>
      <c r="C234" s="14">
        <v>46371</v>
      </c>
      <c r="D234" s="2" t="s">
        <v>479</v>
      </c>
      <c r="E234" s="2" t="s">
        <v>70</v>
      </c>
      <c r="F234" s="2" t="s">
        <v>48</v>
      </c>
      <c r="G234" s="2" t="s">
        <v>17</v>
      </c>
      <c r="H234" s="2">
        <v>3</v>
      </c>
      <c r="I234" s="31">
        <v>356</v>
      </c>
      <c r="J234" s="3">
        <v>0.13</v>
      </c>
      <c r="K234" s="31">
        <v>929</v>
      </c>
      <c r="L234" s="2" t="s">
        <v>24</v>
      </c>
      <c r="M234" s="2" t="s">
        <v>30</v>
      </c>
      <c r="N234" s="35">
        <v>102</v>
      </c>
    </row>
    <row r="235" spans="1:14" x14ac:dyDescent="0.3">
      <c r="A235" s="4" t="s">
        <v>480</v>
      </c>
      <c r="B235" s="4" t="str">
        <f>TEXT(Table1[[#This Row],[Date]],"mmmm")</f>
        <v>July</v>
      </c>
      <c r="C235" s="14">
        <v>46214</v>
      </c>
      <c r="D235" s="2" t="s">
        <v>359</v>
      </c>
      <c r="E235" s="2" t="s">
        <v>15</v>
      </c>
      <c r="F235" s="2" t="s">
        <v>48</v>
      </c>
      <c r="G235" s="2" t="s">
        <v>17</v>
      </c>
      <c r="H235" s="2">
        <v>1</v>
      </c>
      <c r="I235" s="31">
        <v>799</v>
      </c>
      <c r="J235" s="3">
        <v>0.2</v>
      </c>
      <c r="K235" s="31">
        <v>639</v>
      </c>
      <c r="L235" s="2" t="s">
        <v>29</v>
      </c>
      <c r="M235" s="2" t="s">
        <v>19</v>
      </c>
      <c r="N235" s="35">
        <v>198</v>
      </c>
    </row>
    <row r="236" spans="1:14" x14ac:dyDescent="0.3">
      <c r="A236" s="4" t="s">
        <v>481</v>
      </c>
      <c r="B236" s="4" t="str">
        <f>TEXT(Table1[[#This Row],[Date]],"mmmm")</f>
        <v>August</v>
      </c>
      <c r="C236" s="14">
        <v>46262</v>
      </c>
      <c r="D236" s="2" t="s">
        <v>482</v>
      </c>
      <c r="E236" s="2" t="s">
        <v>70</v>
      </c>
      <c r="F236" s="2" t="s">
        <v>16</v>
      </c>
      <c r="G236" s="2" t="s">
        <v>17</v>
      </c>
      <c r="H236" s="2">
        <v>3</v>
      </c>
      <c r="I236" s="31">
        <v>336</v>
      </c>
      <c r="J236" s="3">
        <v>0.02</v>
      </c>
      <c r="K236" s="31">
        <v>987</v>
      </c>
      <c r="L236" s="2" t="s">
        <v>24</v>
      </c>
      <c r="M236" s="2" t="s">
        <v>19</v>
      </c>
      <c r="N236" s="35">
        <v>325</v>
      </c>
    </row>
    <row r="237" spans="1:14" x14ac:dyDescent="0.3">
      <c r="A237" s="4" t="s">
        <v>483</v>
      </c>
      <c r="B237" s="4" t="str">
        <f>TEXT(Table1[[#This Row],[Date]],"mmmm")</f>
        <v>June</v>
      </c>
      <c r="C237" s="14">
        <v>46178</v>
      </c>
      <c r="D237" s="2" t="s">
        <v>484</v>
      </c>
      <c r="E237" s="2" t="s">
        <v>22</v>
      </c>
      <c r="F237" s="2" t="s">
        <v>53</v>
      </c>
      <c r="G237" s="2" t="s">
        <v>17</v>
      </c>
      <c r="H237" s="2">
        <v>3</v>
      </c>
      <c r="I237" s="31">
        <v>738</v>
      </c>
      <c r="J237" s="3">
        <v>0.12</v>
      </c>
      <c r="K237" s="31">
        <v>1948</v>
      </c>
      <c r="L237" s="2" t="s">
        <v>29</v>
      </c>
      <c r="M237" s="2" t="s">
        <v>19</v>
      </c>
      <c r="N237" s="35">
        <v>564</v>
      </c>
    </row>
    <row r="238" spans="1:14" x14ac:dyDescent="0.3">
      <c r="A238" s="4" t="s">
        <v>485</v>
      </c>
      <c r="B238" s="4" t="str">
        <f>TEXT(Table1[[#This Row],[Date]],"mmmm")</f>
        <v>November</v>
      </c>
      <c r="C238" s="14">
        <v>46347</v>
      </c>
      <c r="D238" s="2" t="s">
        <v>486</v>
      </c>
      <c r="E238" s="2" t="s">
        <v>22</v>
      </c>
      <c r="F238" s="2" t="s">
        <v>28</v>
      </c>
      <c r="G238" s="2" t="s">
        <v>17</v>
      </c>
      <c r="H238" s="2">
        <v>3</v>
      </c>
      <c r="I238" s="31">
        <v>693</v>
      </c>
      <c r="J238" s="3">
        <v>0</v>
      </c>
      <c r="K238" s="31">
        <v>2079</v>
      </c>
      <c r="L238" s="2" t="s">
        <v>37</v>
      </c>
      <c r="M238" s="2" t="s">
        <v>19</v>
      </c>
      <c r="N238" s="35">
        <v>582</v>
      </c>
    </row>
    <row r="239" spans="1:14" x14ac:dyDescent="0.3">
      <c r="A239" s="4" t="s">
        <v>487</v>
      </c>
      <c r="B239" s="4" t="str">
        <f>TEXT(Table1[[#This Row],[Date]],"mmmm")</f>
        <v>May</v>
      </c>
      <c r="C239" s="14">
        <v>46145</v>
      </c>
      <c r="D239" s="2" t="s">
        <v>488</v>
      </c>
      <c r="E239" s="2" t="s">
        <v>15</v>
      </c>
      <c r="F239" s="2" t="s">
        <v>23</v>
      </c>
      <c r="G239" s="2" t="s">
        <v>17</v>
      </c>
      <c r="H239" s="2">
        <v>1</v>
      </c>
      <c r="I239" s="31">
        <v>255</v>
      </c>
      <c r="J239" s="3">
        <v>0.06</v>
      </c>
      <c r="K239" s="31">
        <v>239</v>
      </c>
      <c r="L239" s="2" t="s">
        <v>29</v>
      </c>
      <c r="M239" s="2" t="s">
        <v>54</v>
      </c>
      <c r="N239" s="35">
        <v>31</v>
      </c>
    </row>
    <row r="240" spans="1:14" x14ac:dyDescent="0.3">
      <c r="A240" s="4" t="s">
        <v>489</v>
      </c>
      <c r="B240" s="4" t="str">
        <f>TEXT(Table1[[#This Row],[Date]],"mmmm")</f>
        <v>January</v>
      </c>
      <c r="C240" s="14">
        <v>46047</v>
      </c>
      <c r="D240" s="2" t="s">
        <v>490</v>
      </c>
      <c r="E240" s="2" t="s">
        <v>27</v>
      </c>
      <c r="F240" s="2" t="s">
        <v>41</v>
      </c>
      <c r="G240" s="2" t="s">
        <v>17</v>
      </c>
      <c r="H240" s="2">
        <v>3</v>
      </c>
      <c r="I240" s="31">
        <v>239</v>
      </c>
      <c r="J240" s="3">
        <v>0.05</v>
      </c>
      <c r="K240" s="31">
        <v>681</v>
      </c>
      <c r="L240" s="2" t="s">
        <v>29</v>
      </c>
      <c r="M240" s="2" t="s">
        <v>30</v>
      </c>
      <c r="N240" s="35">
        <v>115</v>
      </c>
    </row>
    <row r="241" spans="1:14" x14ac:dyDescent="0.3">
      <c r="A241" s="4" t="s">
        <v>491</v>
      </c>
      <c r="B241" s="4" t="str">
        <f>TEXT(Table1[[#This Row],[Date]],"mmmm")</f>
        <v>July</v>
      </c>
      <c r="C241" s="14">
        <v>46228</v>
      </c>
      <c r="D241" s="2" t="s">
        <v>116</v>
      </c>
      <c r="E241" s="2" t="s">
        <v>15</v>
      </c>
      <c r="F241" s="2" t="s">
        <v>36</v>
      </c>
      <c r="G241" s="2" t="s">
        <v>17</v>
      </c>
      <c r="H241" s="2">
        <v>5</v>
      </c>
      <c r="I241" s="31">
        <v>616</v>
      </c>
      <c r="J241" s="3">
        <v>0.08</v>
      </c>
      <c r="K241" s="31">
        <v>2833</v>
      </c>
      <c r="L241" s="2" t="s">
        <v>18</v>
      </c>
      <c r="M241" s="2" t="s">
        <v>54</v>
      </c>
      <c r="N241" s="35">
        <v>396</v>
      </c>
    </row>
    <row r="242" spans="1:14" x14ac:dyDescent="0.3">
      <c r="A242" s="4" t="s">
        <v>492</v>
      </c>
      <c r="B242" s="4" t="str">
        <f>TEXT(Table1[[#This Row],[Date]],"mmmm")</f>
        <v>May</v>
      </c>
      <c r="C242" s="14">
        <v>46145</v>
      </c>
      <c r="D242" s="2" t="s">
        <v>493</v>
      </c>
      <c r="E242" s="2" t="s">
        <v>22</v>
      </c>
      <c r="F242" s="2" t="s">
        <v>53</v>
      </c>
      <c r="G242" s="2" t="s">
        <v>17</v>
      </c>
      <c r="H242" s="2">
        <v>2</v>
      </c>
      <c r="I242" s="31">
        <v>497</v>
      </c>
      <c r="J242" s="3">
        <v>0.15</v>
      </c>
      <c r="K242" s="31">
        <v>844</v>
      </c>
      <c r="L242" s="2" t="s">
        <v>18</v>
      </c>
      <c r="M242" s="2" t="s">
        <v>30</v>
      </c>
      <c r="N242" s="35">
        <v>126</v>
      </c>
    </row>
    <row r="243" spans="1:14" x14ac:dyDescent="0.3">
      <c r="A243" s="4" t="s">
        <v>494</v>
      </c>
      <c r="B243" s="4" t="str">
        <f>TEXT(Table1[[#This Row],[Date]],"mmmm")</f>
        <v>July</v>
      </c>
      <c r="C243" s="14">
        <v>46224</v>
      </c>
      <c r="D243" s="2" t="s">
        <v>495</v>
      </c>
      <c r="E243" s="2" t="s">
        <v>70</v>
      </c>
      <c r="F243" s="2" t="s">
        <v>67</v>
      </c>
      <c r="G243" s="2" t="s">
        <v>17</v>
      </c>
      <c r="H243" s="2">
        <v>2</v>
      </c>
      <c r="I243" s="31">
        <v>388</v>
      </c>
      <c r="J243" s="3">
        <v>0.03</v>
      </c>
      <c r="K243" s="31">
        <v>752</v>
      </c>
      <c r="L243" s="2" t="s">
        <v>37</v>
      </c>
      <c r="M243" s="2" t="s">
        <v>19</v>
      </c>
      <c r="N243" s="35">
        <v>157</v>
      </c>
    </row>
    <row r="244" spans="1:14" x14ac:dyDescent="0.3">
      <c r="A244" s="4" t="s">
        <v>496</v>
      </c>
      <c r="B244" s="4" t="str">
        <f>TEXT(Table1[[#This Row],[Date]],"mmmm")</f>
        <v>August</v>
      </c>
      <c r="C244" s="14">
        <v>46250</v>
      </c>
      <c r="D244" s="2" t="s">
        <v>497</v>
      </c>
      <c r="E244" s="2" t="s">
        <v>40</v>
      </c>
      <c r="F244" s="2" t="s">
        <v>16</v>
      </c>
      <c r="G244" s="2" t="s">
        <v>17</v>
      </c>
      <c r="H244" s="2">
        <v>5</v>
      </c>
      <c r="I244" s="31">
        <v>570</v>
      </c>
      <c r="J244" s="3">
        <v>0.03</v>
      </c>
      <c r="K244" s="31">
        <v>2764</v>
      </c>
      <c r="L244" s="2" t="s">
        <v>18</v>
      </c>
      <c r="M244" s="2" t="s">
        <v>30</v>
      </c>
      <c r="N244" s="35">
        <v>967</v>
      </c>
    </row>
    <row r="245" spans="1:14" x14ac:dyDescent="0.3">
      <c r="A245" s="4" t="s">
        <v>498</v>
      </c>
      <c r="B245" s="4" t="str">
        <f>TEXT(Table1[[#This Row],[Date]],"mmmm")</f>
        <v>April</v>
      </c>
      <c r="C245" s="14">
        <v>46122</v>
      </c>
      <c r="D245" s="2" t="s">
        <v>369</v>
      </c>
      <c r="E245" s="2" t="s">
        <v>22</v>
      </c>
      <c r="F245" s="2" t="s">
        <v>53</v>
      </c>
      <c r="G245" s="2" t="s">
        <v>17</v>
      </c>
      <c r="H245" s="2">
        <v>1</v>
      </c>
      <c r="I245" s="31">
        <v>724</v>
      </c>
      <c r="J245" s="3">
        <v>0.17</v>
      </c>
      <c r="K245" s="31">
        <v>600</v>
      </c>
      <c r="L245" s="2" t="s">
        <v>18</v>
      </c>
      <c r="M245" s="2" t="s">
        <v>54</v>
      </c>
      <c r="N245" s="35">
        <v>156</v>
      </c>
    </row>
    <row r="246" spans="1:14" x14ac:dyDescent="0.3">
      <c r="A246" s="4" t="s">
        <v>499</v>
      </c>
      <c r="B246" s="4" t="str">
        <f>TEXT(Table1[[#This Row],[Date]],"mmmm")</f>
        <v>September</v>
      </c>
      <c r="C246" s="14">
        <v>46281</v>
      </c>
      <c r="D246" s="2" t="s">
        <v>500</v>
      </c>
      <c r="E246" s="2" t="s">
        <v>70</v>
      </c>
      <c r="F246" s="2" t="s">
        <v>28</v>
      </c>
      <c r="G246" s="2" t="s">
        <v>17</v>
      </c>
      <c r="H246" s="2">
        <v>1</v>
      </c>
      <c r="I246" s="31">
        <v>238</v>
      </c>
      <c r="J246" s="3">
        <v>0</v>
      </c>
      <c r="K246" s="31">
        <v>238</v>
      </c>
      <c r="L246" s="2" t="s">
        <v>29</v>
      </c>
      <c r="M246" s="2" t="s">
        <v>19</v>
      </c>
      <c r="N246" s="35">
        <v>33</v>
      </c>
    </row>
    <row r="247" spans="1:14" x14ac:dyDescent="0.3">
      <c r="A247" s="4" t="s">
        <v>501</v>
      </c>
      <c r="B247" s="4" t="str">
        <f>TEXT(Table1[[#This Row],[Date]],"mmmm")</f>
        <v>April</v>
      </c>
      <c r="C247" s="14">
        <v>46123</v>
      </c>
      <c r="D247" s="2" t="s">
        <v>502</v>
      </c>
      <c r="E247" s="2" t="s">
        <v>27</v>
      </c>
      <c r="F247" s="2" t="s">
        <v>74</v>
      </c>
      <c r="G247" s="2" t="s">
        <v>17</v>
      </c>
      <c r="H247" s="2">
        <v>5</v>
      </c>
      <c r="I247" s="31">
        <v>424</v>
      </c>
      <c r="J247" s="3">
        <v>0.05</v>
      </c>
      <c r="K247" s="31">
        <v>2014</v>
      </c>
      <c r="L247" s="2" t="s">
        <v>37</v>
      </c>
      <c r="M247" s="2" t="s">
        <v>54</v>
      </c>
      <c r="N247" s="35">
        <v>543</v>
      </c>
    </row>
    <row r="248" spans="1:14" x14ac:dyDescent="0.3">
      <c r="A248" s="4" t="s">
        <v>503</v>
      </c>
      <c r="B248" s="4" t="str">
        <f>TEXT(Table1[[#This Row],[Date]],"mmmm")</f>
        <v>July</v>
      </c>
      <c r="C248" s="14">
        <v>46217</v>
      </c>
      <c r="D248" s="2" t="s">
        <v>504</v>
      </c>
      <c r="E248" s="2" t="s">
        <v>40</v>
      </c>
      <c r="F248" s="2" t="s">
        <v>36</v>
      </c>
      <c r="G248" s="2" t="s">
        <v>17</v>
      </c>
      <c r="H248" s="2">
        <v>5</v>
      </c>
      <c r="I248" s="31">
        <v>126</v>
      </c>
      <c r="J248" s="3">
        <v>0.04</v>
      </c>
      <c r="K248" s="31">
        <v>604</v>
      </c>
      <c r="L248" s="2" t="s">
        <v>29</v>
      </c>
      <c r="M248" s="2" t="s">
        <v>30</v>
      </c>
      <c r="N248" s="35">
        <v>144</v>
      </c>
    </row>
    <row r="249" spans="1:14" x14ac:dyDescent="0.3">
      <c r="A249" s="4" t="s">
        <v>505</v>
      </c>
      <c r="B249" s="4" t="str">
        <f>TEXT(Table1[[#This Row],[Date]],"mmmm")</f>
        <v>July</v>
      </c>
      <c r="C249" s="14">
        <v>46210</v>
      </c>
      <c r="D249" s="2" t="s">
        <v>506</v>
      </c>
      <c r="E249" s="2" t="s">
        <v>15</v>
      </c>
      <c r="F249" s="2" t="s">
        <v>41</v>
      </c>
      <c r="G249" s="2" t="s">
        <v>17</v>
      </c>
      <c r="H249" s="2">
        <v>5</v>
      </c>
      <c r="I249" s="31">
        <v>427</v>
      </c>
      <c r="J249" s="3">
        <v>0.03</v>
      </c>
      <c r="K249" s="31">
        <v>2070</v>
      </c>
      <c r="L249" s="2" t="s">
        <v>37</v>
      </c>
      <c r="M249" s="2" t="s">
        <v>54</v>
      </c>
      <c r="N249" s="35">
        <v>331</v>
      </c>
    </row>
    <row r="250" spans="1:14" x14ac:dyDescent="0.3">
      <c r="A250" s="4" t="s">
        <v>507</v>
      </c>
      <c r="B250" s="4" t="str">
        <f>TEXT(Table1[[#This Row],[Date]],"mmmm")</f>
        <v>October</v>
      </c>
      <c r="C250" s="14">
        <v>46323</v>
      </c>
      <c r="D250" s="2" t="s">
        <v>387</v>
      </c>
      <c r="E250" s="2" t="s">
        <v>27</v>
      </c>
      <c r="F250" s="2" t="s">
        <v>23</v>
      </c>
      <c r="G250" s="2" t="s">
        <v>17</v>
      </c>
      <c r="H250" s="2">
        <v>4</v>
      </c>
      <c r="I250" s="31">
        <v>796</v>
      </c>
      <c r="J250" s="3">
        <v>0.03</v>
      </c>
      <c r="K250" s="31">
        <v>3088</v>
      </c>
      <c r="L250" s="2" t="s">
        <v>37</v>
      </c>
      <c r="M250" s="2" t="s">
        <v>19</v>
      </c>
      <c r="N250" s="35">
        <v>586</v>
      </c>
    </row>
    <row r="251" spans="1:14" x14ac:dyDescent="0.3">
      <c r="A251" s="4" t="s">
        <v>508</v>
      </c>
      <c r="B251" s="4" t="str">
        <f>TEXT(Table1[[#This Row],[Date]],"mmmm")</f>
        <v>February</v>
      </c>
      <c r="C251" s="14">
        <v>46064</v>
      </c>
      <c r="D251" s="2" t="s">
        <v>509</v>
      </c>
      <c r="E251" s="2" t="s">
        <v>40</v>
      </c>
      <c r="F251" s="2" t="s">
        <v>41</v>
      </c>
      <c r="G251" s="2" t="s">
        <v>17</v>
      </c>
      <c r="H251" s="2">
        <v>4</v>
      </c>
      <c r="I251" s="31">
        <v>84</v>
      </c>
      <c r="J251" s="3">
        <v>0.08</v>
      </c>
      <c r="K251" s="31">
        <v>309</v>
      </c>
      <c r="L251" s="2" t="s">
        <v>37</v>
      </c>
      <c r="M251" s="2" t="s">
        <v>19</v>
      </c>
      <c r="N251" s="35">
        <v>83</v>
      </c>
    </row>
    <row r="252" spans="1:14" x14ac:dyDescent="0.3">
      <c r="A252" s="4" t="s">
        <v>510</v>
      </c>
      <c r="B252" s="4" t="str">
        <f>TEXT(Table1[[#This Row],[Date]],"mmmm")</f>
        <v>October</v>
      </c>
      <c r="C252" s="14">
        <v>46298</v>
      </c>
      <c r="D252" s="2" t="s">
        <v>427</v>
      </c>
      <c r="E252" s="2" t="s">
        <v>70</v>
      </c>
      <c r="F252" s="2" t="s">
        <v>67</v>
      </c>
      <c r="G252" s="2" t="s">
        <v>17</v>
      </c>
      <c r="H252" s="2">
        <v>3</v>
      </c>
      <c r="I252" s="31">
        <v>454</v>
      </c>
      <c r="J252" s="3">
        <v>0.06</v>
      </c>
      <c r="K252" s="31">
        <v>1280</v>
      </c>
      <c r="L252" s="2" t="s">
        <v>29</v>
      </c>
      <c r="M252" s="2" t="s">
        <v>19</v>
      </c>
      <c r="N252" s="35">
        <v>358</v>
      </c>
    </row>
    <row r="253" spans="1:14" x14ac:dyDescent="0.3">
      <c r="A253" s="4" t="s">
        <v>511</v>
      </c>
      <c r="B253" s="4" t="str">
        <f>TEXT(Table1[[#This Row],[Date]],"mmmm")</f>
        <v>June</v>
      </c>
      <c r="C253" s="14">
        <v>46177</v>
      </c>
      <c r="D253" s="2" t="s">
        <v>512</v>
      </c>
      <c r="E253" s="2" t="s">
        <v>22</v>
      </c>
      <c r="F253" s="2" t="s">
        <v>16</v>
      </c>
      <c r="G253" s="2" t="s">
        <v>17</v>
      </c>
      <c r="H253" s="2">
        <v>5</v>
      </c>
      <c r="I253" s="31">
        <v>465</v>
      </c>
      <c r="J253" s="3">
        <v>0.05</v>
      </c>
      <c r="K253" s="31">
        <v>2208</v>
      </c>
      <c r="L253" s="2" t="s">
        <v>24</v>
      </c>
      <c r="M253" s="2" t="s">
        <v>54</v>
      </c>
      <c r="N253" s="35">
        <v>242</v>
      </c>
    </row>
    <row r="254" spans="1:14" x14ac:dyDescent="0.3">
      <c r="A254" s="4" t="s">
        <v>513</v>
      </c>
      <c r="B254" s="4" t="str">
        <f>TEXT(Table1[[#This Row],[Date]],"mmmm")</f>
        <v>September</v>
      </c>
      <c r="C254" s="14">
        <v>46293</v>
      </c>
      <c r="D254" s="2" t="s">
        <v>514</v>
      </c>
      <c r="E254" s="2" t="s">
        <v>15</v>
      </c>
      <c r="F254" s="2" t="s">
        <v>36</v>
      </c>
      <c r="G254" s="2" t="s">
        <v>17</v>
      </c>
      <c r="H254" s="2">
        <v>2</v>
      </c>
      <c r="I254" s="31">
        <v>360</v>
      </c>
      <c r="J254" s="3">
        <v>0.01</v>
      </c>
      <c r="K254" s="31">
        <v>712</v>
      </c>
      <c r="L254" s="2" t="s">
        <v>18</v>
      </c>
      <c r="M254" s="2" t="s">
        <v>19</v>
      </c>
      <c r="N254" s="35">
        <v>170</v>
      </c>
    </row>
    <row r="255" spans="1:14" x14ac:dyDescent="0.3">
      <c r="A255" s="4" t="s">
        <v>515</v>
      </c>
      <c r="B255" s="4" t="str">
        <f>TEXT(Table1[[#This Row],[Date]],"mmmm")</f>
        <v>April</v>
      </c>
      <c r="C255" s="14">
        <v>46118</v>
      </c>
      <c r="D255" s="2" t="s">
        <v>516</v>
      </c>
      <c r="E255" s="2" t="s">
        <v>22</v>
      </c>
      <c r="F255" s="2" t="s">
        <v>28</v>
      </c>
      <c r="G255" s="2" t="s">
        <v>17</v>
      </c>
      <c r="H255" s="2">
        <v>2</v>
      </c>
      <c r="I255" s="31">
        <v>320</v>
      </c>
      <c r="J255" s="3">
        <v>0.1</v>
      </c>
      <c r="K255" s="31">
        <v>576</v>
      </c>
      <c r="L255" s="2" t="s">
        <v>24</v>
      </c>
      <c r="M255" s="2" t="s">
        <v>19</v>
      </c>
      <c r="N255" s="35">
        <v>63</v>
      </c>
    </row>
    <row r="256" spans="1:14" x14ac:dyDescent="0.3">
      <c r="A256" s="4" t="s">
        <v>517</v>
      </c>
      <c r="B256" s="4" t="str">
        <f>TEXT(Table1[[#This Row],[Date]],"mmmm")</f>
        <v>July</v>
      </c>
      <c r="C256" s="14">
        <v>46215</v>
      </c>
      <c r="D256" s="2" t="s">
        <v>518</v>
      </c>
      <c r="E256" s="2" t="s">
        <v>15</v>
      </c>
      <c r="F256" s="2" t="s">
        <v>41</v>
      </c>
      <c r="G256" s="2" t="s">
        <v>17</v>
      </c>
      <c r="H256" s="2">
        <v>3</v>
      </c>
      <c r="I256" s="31">
        <v>155</v>
      </c>
      <c r="J256" s="3">
        <v>0.05</v>
      </c>
      <c r="K256" s="31">
        <v>441</v>
      </c>
      <c r="L256" s="2" t="s">
        <v>18</v>
      </c>
      <c r="M256" s="2" t="s">
        <v>19</v>
      </c>
      <c r="N256" s="35">
        <v>74</v>
      </c>
    </row>
    <row r="257" spans="1:14" x14ac:dyDescent="0.3">
      <c r="A257" s="4" t="s">
        <v>519</v>
      </c>
      <c r="B257" s="4" t="str">
        <f>TEXT(Table1[[#This Row],[Date]],"mmmm")</f>
        <v>February</v>
      </c>
      <c r="C257" s="14">
        <v>46056</v>
      </c>
      <c r="D257" s="2" t="s">
        <v>520</v>
      </c>
      <c r="E257" s="2" t="s">
        <v>15</v>
      </c>
      <c r="F257" s="2" t="s">
        <v>23</v>
      </c>
      <c r="G257" s="2" t="s">
        <v>17</v>
      </c>
      <c r="H257" s="2">
        <v>2</v>
      </c>
      <c r="I257" s="31">
        <v>788</v>
      </c>
      <c r="J257" s="3">
        <v>0.09</v>
      </c>
      <c r="K257" s="31">
        <v>1434</v>
      </c>
      <c r="L257" s="2" t="s">
        <v>18</v>
      </c>
      <c r="M257" s="2" t="s">
        <v>30</v>
      </c>
      <c r="N257" s="35">
        <v>444</v>
      </c>
    </row>
    <row r="258" spans="1:14" x14ac:dyDescent="0.3">
      <c r="A258" s="4" t="s">
        <v>521</v>
      </c>
      <c r="B258" s="4" t="str">
        <f>TEXT(Table1[[#This Row],[Date]],"mmmm")</f>
        <v>April</v>
      </c>
      <c r="C258" s="14">
        <v>46114</v>
      </c>
      <c r="D258" s="2" t="s">
        <v>522</v>
      </c>
      <c r="E258" s="2" t="s">
        <v>40</v>
      </c>
      <c r="F258" s="2" t="s">
        <v>33</v>
      </c>
      <c r="G258" s="2" t="s">
        <v>17</v>
      </c>
      <c r="H258" s="2">
        <v>4</v>
      </c>
      <c r="I258" s="31">
        <v>106</v>
      </c>
      <c r="J258" s="3">
        <v>0.02</v>
      </c>
      <c r="K258" s="31">
        <v>415</v>
      </c>
      <c r="L258" s="2" t="s">
        <v>18</v>
      </c>
      <c r="M258" s="2" t="s">
        <v>19</v>
      </c>
      <c r="N258" s="35">
        <v>74</v>
      </c>
    </row>
    <row r="259" spans="1:14" x14ac:dyDescent="0.3">
      <c r="A259" s="4" t="s">
        <v>523</v>
      </c>
      <c r="B259" s="4" t="str">
        <f>TEXT(Table1[[#This Row],[Date]],"mmmm")</f>
        <v>July</v>
      </c>
      <c r="C259" s="14">
        <v>46227</v>
      </c>
      <c r="D259" s="2" t="s">
        <v>524</v>
      </c>
      <c r="E259" s="2" t="s">
        <v>70</v>
      </c>
      <c r="F259" s="2" t="s">
        <v>48</v>
      </c>
      <c r="G259" s="2" t="s">
        <v>17</v>
      </c>
      <c r="H259" s="2">
        <v>2</v>
      </c>
      <c r="I259" s="31">
        <v>642</v>
      </c>
      <c r="J259" s="3">
        <v>0.18</v>
      </c>
      <c r="K259" s="31">
        <v>1052</v>
      </c>
      <c r="L259" s="2" t="s">
        <v>18</v>
      </c>
      <c r="M259" s="2" t="s">
        <v>19</v>
      </c>
      <c r="N259" s="35">
        <v>178</v>
      </c>
    </row>
    <row r="260" spans="1:14" x14ac:dyDescent="0.3">
      <c r="A260" s="4" t="s">
        <v>525</v>
      </c>
      <c r="B260" s="4" t="str">
        <f>TEXT(Table1[[#This Row],[Date]],"mmmm")</f>
        <v>April</v>
      </c>
      <c r="C260" s="14">
        <v>46116</v>
      </c>
      <c r="D260" s="2" t="s">
        <v>372</v>
      </c>
      <c r="E260" s="2" t="s">
        <v>22</v>
      </c>
      <c r="F260" s="2" t="s">
        <v>53</v>
      </c>
      <c r="G260" s="2" t="s">
        <v>17</v>
      </c>
      <c r="H260" s="2">
        <v>5</v>
      </c>
      <c r="I260" s="31">
        <v>696</v>
      </c>
      <c r="J260" s="3">
        <v>0.18</v>
      </c>
      <c r="K260" s="31">
        <v>2853</v>
      </c>
      <c r="L260" s="2" t="s">
        <v>24</v>
      </c>
      <c r="M260" s="2" t="s">
        <v>54</v>
      </c>
      <c r="N260" s="35">
        <v>827</v>
      </c>
    </row>
    <row r="261" spans="1:14" x14ac:dyDescent="0.3">
      <c r="A261" s="4" t="s">
        <v>526</v>
      </c>
      <c r="B261" s="4" t="str">
        <f>TEXT(Table1[[#This Row],[Date]],"mmmm")</f>
        <v>June</v>
      </c>
      <c r="C261" s="14">
        <v>46183</v>
      </c>
      <c r="D261" s="2" t="s">
        <v>527</v>
      </c>
      <c r="E261" s="2" t="s">
        <v>70</v>
      </c>
      <c r="F261" s="2" t="s">
        <v>71</v>
      </c>
      <c r="G261" s="2" t="s">
        <v>17</v>
      </c>
      <c r="H261" s="2">
        <v>3</v>
      </c>
      <c r="I261" s="31">
        <v>604</v>
      </c>
      <c r="J261" s="3">
        <v>0.16</v>
      </c>
      <c r="K261" s="31">
        <v>1522</v>
      </c>
      <c r="L261" s="2" t="s">
        <v>29</v>
      </c>
      <c r="M261" s="2" t="s">
        <v>19</v>
      </c>
      <c r="N261" s="35">
        <v>213</v>
      </c>
    </row>
    <row r="262" spans="1:14" x14ac:dyDescent="0.3">
      <c r="A262" s="4" t="s">
        <v>528</v>
      </c>
      <c r="B262" s="4" t="str">
        <f>TEXT(Table1[[#This Row],[Date]],"mmmm")</f>
        <v>June</v>
      </c>
      <c r="C262" s="14">
        <v>46201</v>
      </c>
      <c r="D262" s="2" t="s">
        <v>529</v>
      </c>
      <c r="E262" s="2" t="s">
        <v>40</v>
      </c>
      <c r="F262" s="2" t="s">
        <v>33</v>
      </c>
      <c r="G262" s="2" t="s">
        <v>17</v>
      </c>
      <c r="H262" s="2">
        <v>4</v>
      </c>
      <c r="I262" s="31">
        <v>791</v>
      </c>
      <c r="J262" s="3">
        <v>0.06</v>
      </c>
      <c r="K262" s="31">
        <v>2974</v>
      </c>
      <c r="L262" s="2" t="s">
        <v>37</v>
      </c>
      <c r="M262" s="2" t="s">
        <v>30</v>
      </c>
      <c r="N262" s="35">
        <v>297</v>
      </c>
    </row>
    <row r="263" spans="1:14" x14ac:dyDescent="0.3">
      <c r="A263" s="4" t="s">
        <v>530</v>
      </c>
      <c r="B263" s="4" t="str">
        <f>TEXT(Table1[[#This Row],[Date]],"mmmm")</f>
        <v>November</v>
      </c>
      <c r="C263" s="14">
        <v>46333</v>
      </c>
      <c r="D263" s="2" t="s">
        <v>531</v>
      </c>
      <c r="E263" s="2" t="s">
        <v>15</v>
      </c>
      <c r="F263" s="2" t="s">
        <v>74</v>
      </c>
      <c r="G263" s="2" t="s">
        <v>17</v>
      </c>
      <c r="H263" s="2">
        <v>5</v>
      </c>
      <c r="I263" s="31">
        <v>760</v>
      </c>
      <c r="J263" s="3">
        <v>0.13</v>
      </c>
      <c r="K263" s="31">
        <v>3306</v>
      </c>
      <c r="L263" s="2" t="s">
        <v>29</v>
      </c>
      <c r="M263" s="2" t="s">
        <v>54</v>
      </c>
      <c r="N263" s="35">
        <v>330</v>
      </c>
    </row>
    <row r="264" spans="1:14" x14ac:dyDescent="0.3">
      <c r="A264" s="4" t="s">
        <v>532</v>
      </c>
      <c r="B264" s="4" t="str">
        <f>TEXT(Table1[[#This Row],[Date]],"mmmm")</f>
        <v>May</v>
      </c>
      <c r="C264" s="14">
        <v>46169</v>
      </c>
      <c r="D264" s="2" t="s">
        <v>533</v>
      </c>
      <c r="E264" s="2" t="s">
        <v>27</v>
      </c>
      <c r="F264" s="2" t="s">
        <v>41</v>
      </c>
      <c r="G264" s="2" t="s">
        <v>17</v>
      </c>
      <c r="H264" s="2">
        <v>4</v>
      </c>
      <c r="I264" s="31">
        <v>157</v>
      </c>
      <c r="J264" s="3">
        <v>0.1</v>
      </c>
      <c r="K264" s="31">
        <v>565</v>
      </c>
      <c r="L264" s="2" t="s">
        <v>24</v>
      </c>
      <c r="M264" s="2" t="s">
        <v>19</v>
      </c>
      <c r="N264" s="35">
        <v>135</v>
      </c>
    </row>
    <row r="265" spans="1:14" x14ac:dyDescent="0.3">
      <c r="A265" s="4" t="s">
        <v>534</v>
      </c>
      <c r="B265" s="4" t="str">
        <f>TEXT(Table1[[#This Row],[Date]],"mmmm")</f>
        <v>August</v>
      </c>
      <c r="C265" s="14">
        <v>46255</v>
      </c>
      <c r="D265" s="2" t="s">
        <v>535</v>
      </c>
      <c r="E265" s="2" t="s">
        <v>40</v>
      </c>
      <c r="F265" s="2" t="s">
        <v>33</v>
      </c>
      <c r="G265" s="2" t="s">
        <v>17</v>
      </c>
      <c r="H265" s="2">
        <v>5</v>
      </c>
      <c r="I265" s="31">
        <v>678</v>
      </c>
      <c r="J265" s="3">
        <v>0.06</v>
      </c>
      <c r="K265" s="31">
        <v>3186</v>
      </c>
      <c r="L265" s="2" t="s">
        <v>37</v>
      </c>
      <c r="M265" s="2" t="s">
        <v>19</v>
      </c>
      <c r="N265" s="35">
        <v>892</v>
      </c>
    </row>
    <row r="266" spans="1:14" x14ac:dyDescent="0.3">
      <c r="A266" s="4" t="s">
        <v>536</v>
      </c>
      <c r="B266" s="4" t="str">
        <f>TEXT(Table1[[#This Row],[Date]],"mmmm")</f>
        <v>August</v>
      </c>
      <c r="C266" s="14">
        <v>46252</v>
      </c>
      <c r="D266" s="2" t="s">
        <v>326</v>
      </c>
      <c r="E266" s="2" t="s">
        <v>15</v>
      </c>
      <c r="F266" s="2" t="s">
        <v>16</v>
      </c>
      <c r="G266" s="2" t="s">
        <v>17</v>
      </c>
      <c r="H266" s="2">
        <v>4</v>
      </c>
      <c r="I266" s="31">
        <v>746</v>
      </c>
      <c r="J266" s="3">
        <v>0.03</v>
      </c>
      <c r="K266" s="31">
        <v>2894</v>
      </c>
      <c r="L266" s="2" t="s">
        <v>29</v>
      </c>
      <c r="M266" s="2" t="s">
        <v>19</v>
      </c>
      <c r="N266" s="35">
        <v>491</v>
      </c>
    </row>
    <row r="267" spans="1:14" x14ac:dyDescent="0.3">
      <c r="A267" s="4" t="s">
        <v>537</v>
      </c>
      <c r="B267" s="4" t="str">
        <f>TEXT(Table1[[#This Row],[Date]],"mmmm")</f>
        <v>June</v>
      </c>
      <c r="C267" s="14">
        <v>46191</v>
      </c>
      <c r="D267" s="2" t="s">
        <v>132</v>
      </c>
      <c r="E267" s="2" t="s">
        <v>22</v>
      </c>
      <c r="F267" s="2" t="s">
        <v>67</v>
      </c>
      <c r="G267" s="2" t="s">
        <v>17</v>
      </c>
      <c r="H267" s="2">
        <v>3</v>
      </c>
      <c r="I267" s="31">
        <v>520</v>
      </c>
      <c r="J267" s="3">
        <v>0.18</v>
      </c>
      <c r="K267" s="31">
        <v>1279</v>
      </c>
      <c r="L267" s="2" t="s">
        <v>37</v>
      </c>
      <c r="M267" s="2" t="s">
        <v>54</v>
      </c>
      <c r="N267" s="35">
        <v>358</v>
      </c>
    </row>
    <row r="268" spans="1:14" x14ac:dyDescent="0.3">
      <c r="A268" s="4" t="s">
        <v>538</v>
      </c>
      <c r="B268" s="4" t="str">
        <f>TEXT(Table1[[#This Row],[Date]],"mmmm")</f>
        <v>September</v>
      </c>
      <c r="C268" s="14">
        <v>46291</v>
      </c>
      <c r="D268" s="2" t="s">
        <v>539</v>
      </c>
      <c r="E268" s="2" t="s">
        <v>40</v>
      </c>
      <c r="F268" s="2" t="s">
        <v>33</v>
      </c>
      <c r="G268" s="2" t="s">
        <v>17</v>
      </c>
      <c r="H268" s="2">
        <v>2</v>
      </c>
      <c r="I268" s="31">
        <v>87</v>
      </c>
      <c r="J268" s="3">
        <v>0.15</v>
      </c>
      <c r="K268" s="31">
        <v>147</v>
      </c>
      <c r="L268" s="2" t="s">
        <v>24</v>
      </c>
      <c r="M268" s="2" t="s">
        <v>54</v>
      </c>
      <c r="N268" s="35">
        <v>38</v>
      </c>
    </row>
    <row r="269" spans="1:14" x14ac:dyDescent="0.3">
      <c r="A269" s="4" t="s">
        <v>540</v>
      </c>
      <c r="B269" s="4" t="str">
        <f>TEXT(Table1[[#This Row],[Date]],"mmmm")</f>
        <v>May</v>
      </c>
      <c r="C269" s="14">
        <v>46163</v>
      </c>
      <c r="D269" s="2" t="s">
        <v>541</v>
      </c>
      <c r="E269" s="2" t="s">
        <v>27</v>
      </c>
      <c r="F269" s="2" t="s">
        <v>53</v>
      </c>
      <c r="G269" s="2" t="s">
        <v>17</v>
      </c>
      <c r="H269" s="2">
        <v>2</v>
      </c>
      <c r="I269" s="31">
        <v>474</v>
      </c>
      <c r="J269" s="3">
        <v>0.01</v>
      </c>
      <c r="K269" s="31">
        <v>938</v>
      </c>
      <c r="L269" s="2" t="s">
        <v>24</v>
      </c>
      <c r="M269" s="2" t="s">
        <v>30</v>
      </c>
      <c r="N269" s="35">
        <v>318</v>
      </c>
    </row>
    <row r="270" spans="1:14" x14ac:dyDescent="0.3">
      <c r="A270" s="4" t="s">
        <v>542</v>
      </c>
      <c r="B270" s="4" t="str">
        <f>TEXT(Table1[[#This Row],[Date]],"mmmm")</f>
        <v>March</v>
      </c>
      <c r="C270" s="14">
        <v>46090</v>
      </c>
      <c r="D270" s="2" t="s">
        <v>468</v>
      </c>
      <c r="E270" s="2" t="s">
        <v>27</v>
      </c>
      <c r="F270" s="2" t="s">
        <v>16</v>
      </c>
      <c r="G270" s="2" t="s">
        <v>17</v>
      </c>
      <c r="H270" s="2">
        <v>5</v>
      </c>
      <c r="I270" s="31">
        <v>397</v>
      </c>
      <c r="J270" s="3">
        <v>0.03</v>
      </c>
      <c r="K270" s="31">
        <v>1925</v>
      </c>
      <c r="L270" s="2" t="s">
        <v>24</v>
      </c>
      <c r="M270" s="2" t="s">
        <v>19</v>
      </c>
      <c r="N270" s="35">
        <v>192</v>
      </c>
    </row>
    <row r="271" spans="1:14" x14ac:dyDescent="0.3">
      <c r="A271" s="4" t="s">
        <v>543</v>
      </c>
      <c r="B271" s="4" t="str">
        <f>TEXT(Table1[[#This Row],[Date]],"mmmm")</f>
        <v>October</v>
      </c>
      <c r="C271" s="14">
        <v>46304</v>
      </c>
      <c r="D271" s="2" t="s">
        <v>544</v>
      </c>
      <c r="E271" s="2" t="s">
        <v>40</v>
      </c>
      <c r="F271" s="2" t="s">
        <v>16</v>
      </c>
      <c r="G271" s="2" t="s">
        <v>17</v>
      </c>
      <c r="H271" s="2">
        <v>2</v>
      </c>
      <c r="I271" s="31">
        <v>180</v>
      </c>
      <c r="J271" s="3">
        <v>0.1</v>
      </c>
      <c r="K271" s="31">
        <v>324</v>
      </c>
      <c r="L271" s="2" t="s">
        <v>24</v>
      </c>
      <c r="M271" s="2" t="s">
        <v>54</v>
      </c>
      <c r="N271" s="35">
        <v>87</v>
      </c>
    </row>
    <row r="272" spans="1:14" x14ac:dyDescent="0.3">
      <c r="A272" s="4" t="s">
        <v>545</v>
      </c>
      <c r="B272" s="4" t="str">
        <f>TEXT(Table1[[#This Row],[Date]],"mmmm")</f>
        <v>August</v>
      </c>
      <c r="C272" s="14">
        <v>46245</v>
      </c>
      <c r="D272" s="2" t="s">
        <v>382</v>
      </c>
      <c r="E272" s="2" t="s">
        <v>15</v>
      </c>
      <c r="F272" s="2" t="s">
        <v>48</v>
      </c>
      <c r="G272" s="2" t="s">
        <v>17</v>
      </c>
      <c r="H272" s="2">
        <v>4</v>
      </c>
      <c r="I272" s="31">
        <v>387</v>
      </c>
      <c r="J272" s="3">
        <v>0.19</v>
      </c>
      <c r="K272" s="31">
        <v>1253</v>
      </c>
      <c r="L272" s="2" t="s">
        <v>37</v>
      </c>
      <c r="M272" s="2" t="s">
        <v>54</v>
      </c>
      <c r="N272" s="35">
        <v>413</v>
      </c>
    </row>
    <row r="273" spans="1:14" x14ac:dyDescent="0.3">
      <c r="A273" s="4" t="s">
        <v>546</v>
      </c>
      <c r="B273" s="4" t="str">
        <f>TEXT(Table1[[#This Row],[Date]],"mmmm")</f>
        <v>March</v>
      </c>
      <c r="C273" s="14">
        <v>46098</v>
      </c>
      <c r="D273" s="2" t="s">
        <v>547</v>
      </c>
      <c r="E273" s="2" t="s">
        <v>22</v>
      </c>
      <c r="F273" s="2" t="s">
        <v>28</v>
      </c>
      <c r="G273" s="2" t="s">
        <v>17</v>
      </c>
      <c r="H273" s="2">
        <v>5</v>
      </c>
      <c r="I273" s="31">
        <v>531</v>
      </c>
      <c r="J273" s="3">
        <v>0</v>
      </c>
      <c r="K273" s="31">
        <v>2655</v>
      </c>
      <c r="L273" s="2" t="s">
        <v>24</v>
      </c>
      <c r="M273" s="2" t="s">
        <v>19</v>
      </c>
      <c r="N273" s="35">
        <v>929</v>
      </c>
    </row>
    <row r="274" spans="1:14" x14ac:dyDescent="0.3">
      <c r="A274" s="4" t="s">
        <v>548</v>
      </c>
      <c r="B274" s="4" t="str">
        <f>TEXT(Table1[[#This Row],[Date]],"mmmm")</f>
        <v>May</v>
      </c>
      <c r="C274" s="14">
        <v>46143</v>
      </c>
      <c r="D274" s="2" t="s">
        <v>549</v>
      </c>
      <c r="E274" s="2" t="s">
        <v>70</v>
      </c>
      <c r="F274" s="2" t="s">
        <v>23</v>
      </c>
      <c r="G274" s="2" t="s">
        <v>17</v>
      </c>
      <c r="H274" s="2">
        <v>3</v>
      </c>
      <c r="I274" s="31">
        <v>632</v>
      </c>
      <c r="J274" s="3">
        <v>0.11</v>
      </c>
      <c r="K274" s="31">
        <v>1687</v>
      </c>
      <c r="L274" s="2" t="s">
        <v>24</v>
      </c>
      <c r="M274" s="2" t="s">
        <v>30</v>
      </c>
      <c r="N274" s="35">
        <v>556</v>
      </c>
    </row>
    <row r="275" spans="1:14" x14ac:dyDescent="0.3">
      <c r="A275" s="4" t="s">
        <v>550</v>
      </c>
      <c r="B275" s="4" t="str">
        <f>TEXT(Table1[[#This Row],[Date]],"mmmm")</f>
        <v>December</v>
      </c>
      <c r="C275" s="14">
        <v>46364</v>
      </c>
      <c r="D275" s="2" t="s">
        <v>176</v>
      </c>
      <c r="E275" s="2" t="s">
        <v>22</v>
      </c>
      <c r="F275" s="2" t="s">
        <v>74</v>
      </c>
      <c r="G275" s="2" t="s">
        <v>17</v>
      </c>
      <c r="H275" s="2">
        <v>1</v>
      </c>
      <c r="I275" s="31">
        <v>794</v>
      </c>
      <c r="J275" s="3">
        <v>0.18</v>
      </c>
      <c r="K275" s="31">
        <v>651</v>
      </c>
      <c r="L275" s="2" t="s">
        <v>29</v>
      </c>
      <c r="M275" s="2" t="s">
        <v>54</v>
      </c>
      <c r="N275" s="35">
        <v>156</v>
      </c>
    </row>
    <row r="276" spans="1:14" x14ac:dyDescent="0.3">
      <c r="A276" s="4" t="s">
        <v>551</v>
      </c>
      <c r="B276" s="4" t="str">
        <f>TEXT(Table1[[#This Row],[Date]],"mmmm")</f>
        <v>July</v>
      </c>
      <c r="C276" s="14">
        <v>46223</v>
      </c>
      <c r="D276" s="2" t="s">
        <v>552</v>
      </c>
      <c r="E276" s="2" t="s">
        <v>15</v>
      </c>
      <c r="F276" s="2" t="s">
        <v>36</v>
      </c>
      <c r="G276" s="2" t="s">
        <v>17</v>
      </c>
      <c r="H276" s="2">
        <v>1</v>
      </c>
      <c r="I276" s="31">
        <v>287</v>
      </c>
      <c r="J276" s="3">
        <v>0.08</v>
      </c>
      <c r="K276" s="31">
        <v>264</v>
      </c>
      <c r="L276" s="2" t="s">
        <v>18</v>
      </c>
      <c r="M276" s="2" t="s">
        <v>54</v>
      </c>
      <c r="N276" s="35">
        <v>60</v>
      </c>
    </row>
    <row r="277" spans="1:14" x14ac:dyDescent="0.3">
      <c r="A277" s="4" t="s">
        <v>553</v>
      </c>
      <c r="B277" s="4" t="str">
        <f>TEXT(Table1[[#This Row],[Date]],"mmmm")</f>
        <v>July</v>
      </c>
      <c r="C277" s="14">
        <v>46228</v>
      </c>
      <c r="D277" s="2" t="s">
        <v>554</v>
      </c>
      <c r="E277" s="2" t="s">
        <v>40</v>
      </c>
      <c r="F277" s="2" t="s">
        <v>33</v>
      </c>
      <c r="G277" s="2" t="s">
        <v>17</v>
      </c>
      <c r="H277" s="2">
        <v>5</v>
      </c>
      <c r="I277" s="31">
        <v>138</v>
      </c>
      <c r="J277" s="3">
        <v>0.09</v>
      </c>
      <c r="K277" s="31">
        <v>627</v>
      </c>
      <c r="L277" s="2" t="s">
        <v>18</v>
      </c>
      <c r="M277" s="2" t="s">
        <v>19</v>
      </c>
      <c r="N277" s="35">
        <v>213</v>
      </c>
    </row>
    <row r="278" spans="1:14" x14ac:dyDescent="0.3">
      <c r="A278" s="4" t="s">
        <v>555</v>
      </c>
      <c r="B278" s="4" t="str">
        <f>TEXT(Table1[[#This Row],[Date]],"mmmm")</f>
        <v>October</v>
      </c>
      <c r="C278" s="14">
        <v>46317</v>
      </c>
      <c r="D278" s="2" t="s">
        <v>556</v>
      </c>
      <c r="E278" s="2" t="s">
        <v>27</v>
      </c>
      <c r="F278" s="2" t="s">
        <v>23</v>
      </c>
      <c r="G278" s="2" t="s">
        <v>17</v>
      </c>
      <c r="H278" s="2">
        <v>3</v>
      </c>
      <c r="I278" s="31">
        <v>752</v>
      </c>
      <c r="J278" s="3">
        <v>0.2</v>
      </c>
      <c r="K278" s="31">
        <v>1804</v>
      </c>
      <c r="L278" s="2" t="s">
        <v>24</v>
      </c>
      <c r="M278" s="2" t="s">
        <v>19</v>
      </c>
      <c r="N278" s="35">
        <v>306</v>
      </c>
    </row>
    <row r="279" spans="1:14" x14ac:dyDescent="0.3">
      <c r="A279" s="4" t="s">
        <v>557</v>
      </c>
      <c r="B279" s="4" t="str">
        <f>TEXT(Table1[[#This Row],[Date]],"mmmm")</f>
        <v>December</v>
      </c>
      <c r="C279" s="14">
        <v>46367</v>
      </c>
      <c r="D279" s="2" t="s">
        <v>558</v>
      </c>
      <c r="E279" s="2" t="s">
        <v>40</v>
      </c>
      <c r="F279" s="2" t="s">
        <v>74</v>
      </c>
      <c r="G279" s="2" t="s">
        <v>17</v>
      </c>
      <c r="H279" s="2">
        <v>3</v>
      </c>
      <c r="I279" s="31">
        <v>341</v>
      </c>
      <c r="J279" s="3">
        <v>0.09</v>
      </c>
      <c r="K279" s="31">
        <v>930</v>
      </c>
      <c r="L279" s="2" t="s">
        <v>24</v>
      </c>
      <c r="M279" s="2" t="s">
        <v>19</v>
      </c>
      <c r="N279" s="35">
        <v>269</v>
      </c>
    </row>
    <row r="280" spans="1:14" x14ac:dyDescent="0.3">
      <c r="A280" s="4" t="s">
        <v>559</v>
      </c>
      <c r="B280" s="4" t="str">
        <f>TEXT(Table1[[#This Row],[Date]],"mmmm")</f>
        <v>April</v>
      </c>
      <c r="C280" s="14">
        <v>46127</v>
      </c>
      <c r="D280" s="2" t="s">
        <v>560</v>
      </c>
      <c r="E280" s="2" t="s">
        <v>15</v>
      </c>
      <c r="F280" s="2" t="s">
        <v>48</v>
      </c>
      <c r="G280" s="2" t="s">
        <v>17</v>
      </c>
      <c r="H280" s="2">
        <v>3</v>
      </c>
      <c r="I280" s="31">
        <v>338</v>
      </c>
      <c r="J280" s="3">
        <v>0.2</v>
      </c>
      <c r="K280" s="31">
        <v>811</v>
      </c>
      <c r="L280" s="2" t="s">
        <v>29</v>
      </c>
      <c r="M280" s="2" t="s">
        <v>30</v>
      </c>
      <c r="N280" s="35">
        <v>89</v>
      </c>
    </row>
    <row r="281" spans="1:14" x14ac:dyDescent="0.3">
      <c r="A281" s="4" t="s">
        <v>561</v>
      </c>
      <c r="B281" s="4" t="str">
        <f>TEXT(Table1[[#This Row],[Date]],"mmmm")</f>
        <v>July</v>
      </c>
      <c r="C281" s="14">
        <v>46218</v>
      </c>
      <c r="D281" s="2" t="s">
        <v>389</v>
      </c>
      <c r="E281" s="2" t="s">
        <v>22</v>
      </c>
      <c r="F281" s="2" t="s">
        <v>36</v>
      </c>
      <c r="G281" s="2" t="s">
        <v>17</v>
      </c>
      <c r="H281" s="2">
        <v>1</v>
      </c>
      <c r="I281" s="31">
        <v>84</v>
      </c>
      <c r="J281" s="3">
        <v>0.15</v>
      </c>
      <c r="K281" s="31">
        <v>71</v>
      </c>
      <c r="L281" s="2" t="s">
        <v>24</v>
      </c>
      <c r="M281" s="2" t="s">
        <v>19</v>
      </c>
      <c r="N281" s="35">
        <v>9</v>
      </c>
    </row>
    <row r="282" spans="1:14" x14ac:dyDescent="0.3">
      <c r="A282" s="4" t="s">
        <v>562</v>
      </c>
      <c r="B282" s="4" t="str">
        <f>TEXT(Table1[[#This Row],[Date]],"mmmm")</f>
        <v>April</v>
      </c>
      <c r="C282" s="14">
        <v>46122</v>
      </c>
      <c r="D282" s="2" t="s">
        <v>563</v>
      </c>
      <c r="E282" s="2" t="s">
        <v>27</v>
      </c>
      <c r="F282" s="2" t="s">
        <v>23</v>
      </c>
      <c r="G282" s="2" t="s">
        <v>17</v>
      </c>
      <c r="H282" s="2">
        <v>3</v>
      </c>
      <c r="I282" s="31">
        <v>775</v>
      </c>
      <c r="J282" s="3">
        <v>0.08</v>
      </c>
      <c r="K282" s="31">
        <v>2139</v>
      </c>
      <c r="L282" s="2" t="s">
        <v>24</v>
      </c>
      <c r="M282" s="2" t="s">
        <v>54</v>
      </c>
      <c r="N282" s="35">
        <v>491</v>
      </c>
    </row>
    <row r="283" spans="1:14" x14ac:dyDescent="0.3">
      <c r="A283" s="4" t="s">
        <v>564</v>
      </c>
      <c r="B283" s="4" t="str">
        <f>TEXT(Table1[[#This Row],[Date]],"mmmm")</f>
        <v>November</v>
      </c>
      <c r="C283" s="14">
        <v>46353</v>
      </c>
      <c r="D283" s="2" t="s">
        <v>565</v>
      </c>
      <c r="E283" s="2" t="s">
        <v>15</v>
      </c>
      <c r="F283" s="2" t="s">
        <v>48</v>
      </c>
      <c r="G283" s="2" t="s">
        <v>17</v>
      </c>
      <c r="H283" s="2">
        <v>3</v>
      </c>
      <c r="I283" s="31">
        <v>95</v>
      </c>
      <c r="J283" s="3">
        <v>0.19</v>
      </c>
      <c r="K283" s="31">
        <v>230</v>
      </c>
      <c r="L283" s="2" t="s">
        <v>18</v>
      </c>
      <c r="M283" s="2" t="s">
        <v>54</v>
      </c>
      <c r="N283" s="35">
        <v>34</v>
      </c>
    </row>
    <row r="284" spans="1:14" x14ac:dyDescent="0.3">
      <c r="A284" s="4" t="s">
        <v>566</v>
      </c>
      <c r="B284" s="4" t="str">
        <f>TEXT(Table1[[#This Row],[Date]],"mmmm")</f>
        <v>March</v>
      </c>
      <c r="C284" s="14">
        <v>46087</v>
      </c>
      <c r="D284" s="2" t="s">
        <v>567</v>
      </c>
      <c r="E284" s="2" t="s">
        <v>15</v>
      </c>
      <c r="F284" s="2" t="s">
        <v>33</v>
      </c>
      <c r="G284" s="2" t="s">
        <v>17</v>
      </c>
      <c r="H284" s="2">
        <v>2</v>
      </c>
      <c r="I284" s="31">
        <v>232</v>
      </c>
      <c r="J284" s="3">
        <v>0.2</v>
      </c>
      <c r="K284" s="31">
        <v>371</v>
      </c>
      <c r="L284" s="2" t="s">
        <v>29</v>
      </c>
      <c r="M284" s="2" t="s">
        <v>19</v>
      </c>
      <c r="N284" s="35">
        <v>129</v>
      </c>
    </row>
    <row r="285" spans="1:14" x14ac:dyDescent="0.3">
      <c r="A285" s="4" t="s">
        <v>568</v>
      </c>
      <c r="B285" s="4" t="str">
        <f>TEXT(Table1[[#This Row],[Date]],"mmmm")</f>
        <v>July</v>
      </c>
      <c r="C285" s="14">
        <v>46229</v>
      </c>
      <c r="D285" s="2" t="s">
        <v>569</v>
      </c>
      <c r="E285" s="2" t="s">
        <v>70</v>
      </c>
      <c r="F285" s="2" t="s">
        <v>28</v>
      </c>
      <c r="G285" s="2" t="s">
        <v>17</v>
      </c>
      <c r="H285" s="2">
        <v>4</v>
      </c>
      <c r="I285" s="31">
        <v>316</v>
      </c>
      <c r="J285" s="3">
        <v>0</v>
      </c>
      <c r="K285" s="31">
        <v>1264</v>
      </c>
      <c r="L285" s="2" t="s">
        <v>18</v>
      </c>
      <c r="M285" s="2" t="s">
        <v>30</v>
      </c>
      <c r="N285" s="35">
        <v>303</v>
      </c>
    </row>
    <row r="286" spans="1:14" x14ac:dyDescent="0.3">
      <c r="A286" s="4" t="s">
        <v>570</v>
      </c>
      <c r="B286" s="4" t="str">
        <f>TEXT(Table1[[#This Row],[Date]],"mmmm")</f>
        <v>November</v>
      </c>
      <c r="C286" s="14">
        <v>46330</v>
      </c>
      <c r="D286" s="2" t="s">
        <v>571</v>
      </c>
      <c r="E286" s="2" t="s">
        <v>27</v>
      </c>
      <c r="F286" s="2" t="s">
        <v>23</v>
      </c>
      <c r="G286" s="2" t="s">
        <v>17</v>
      </c>
      <c r="H286" s="2">
        <v>5</v>
      </c>
      <c r="I286" s="31">
        <v>329</v>
      </c>
      <c r="J286" s="3">
        <v>0.01</v>
      </c>
      <c r="K286" s="31">
        <v>1628</v>
      </c>
      <c r="L286" s="2" t="s">
        <v>24</v>
      </c>
      <c r="M286" s="2" t="s">
        <v>30</v>
      </c>
      <c r="N286" s="35">
        <v>179</v>
      </c>
    </row>
    <row r="287" spans="1:14" x14ac:dyDescent="0.3">
      <c r="A287" s="4" t="s">
        <v>572</v>
      </c>
      <c r="B287" s="4" t="str">
        <f>TEXT(Table1[[#This Row],[Date]],"mmmm")</f>
        <v>December</v>
      </c>
      <c r="C287" s="14">
        <v>46359</v>
      </c>
      <c r="D287" s="2" t="s">
        <v>573</v>
      </c>
      <c r="E287" s="2" t="s">
        <v>15</v>
      </c>
      <c r="F287" s="2" t="s">
        <v>53</v>
      </c>
      <c r="G287" s="2" t="s">
        <v>17</v>
      </c>
      <c r="H287" s="2">
        <v>2</v>
      </c>
      <c r="I287" s="31">
        <v>220</v>
      </c>
      <c r="J287" s="3">
        <v>0.16</v>
      </c>
      <c r="K287" s="31">
        <v>369</v>
      </c>
      <c r="L287" s="2" t="s">
        <v>37</v>
      </c>
      <c r="M287" s="2" t="s">
        <v>19</v>
      </c>
      <c r="N287" s="35">
        <v>88</v>
      </c>
    </row>
    <row r="288" spans="1:14" x14ac:dyDescent="0.3">
      <c r="A288" s="4" t="s">
        <v>574</v>
      </c>
      <c r="B288" s="4" t="str">
        <f>TEXT(Table1[[#This Row],[Date]],"mmmm")</f>
        <v>December</v>
      </c>
      <c r="C288" s="14">
        <v>46378</v>
      </c>
      <c r="D288" s="2" t="s">
        <v>575</v>
      </c>
      <c r="E288" s="2" t="s">
        <v>22</v>
      </c>
      <c r="F288" s="2" t="s">
        <v>36</v>
      </c>
      <c r="G288" s="2" t="s">
        <v>17</v>
      </c>
      <c r="H288" s="2">
        <v>3</v>
      </c>
      <c r="I288" s="31">
        <v>610</v>
      </c>
      <c r="J288" s="3">
        <v>0.13</v>
      </c>
      <c r="K288" s="31">
        <v>1592</v>
      </c>
      <c r="L288" s="2" t="s">
        <v>29</v>
      </c>
      <c r="M288" s="2" t="s">
        <v>19</v>
      </c>
      <c r="N288" s="35">
        <v>270</v>
      </c>
    </row>
    <row r="289" spans="1:14" x14ac:dyDescent="0.3">
      <c r="A289" s="4" t="s">
        <v>576</v>
      </c>
      <c r="B289" s="4" t="str">
        <f>TEXT(Table1[[#This Row],[Date]],"mmmm")</f>
        <v>May</v>
      </c>
      <c r="C289" s="14">
        <v>46153</v>
      </c>
      <c r="D289" s="2" t="s">
        <v>577</v>
      </c>
      <c r="E289" s="2" t="s">
        <v>22</v>
      </c>
      <c r="F289" s="2" t="s">
        <v>16</v>
      </c>
      <c r="G289" s="2" t="s">
        <v>17</v>
      </c>
      <c r="H289" s="2">
        <v>4</v>
      </c>
      <c r="I289" s="31">
        <v>423</v>
      </c>
      <c r="J289" s="3">
        <v>0.17</v>
      </c>
      <c r="K289" s="31">
        <v>1404</v>
      </c>
      <c r="L289" s="2" t="s">
        <v>18</v>
      </c>
      <c r="M289" s="2" t="s">
        <v>19</v>
      </c>
      <c r="N289" s="35">
        <v>294</v>
      </c>
    </row>
    <row r="290" spans="1:14" x14ac:dyDescent="0.3">
      <c r="A290" s="4" t="s">
        <v>578</v>
      </c>
      <c r="B290" s="4" t="str">
        <f>TEXT(Table1[[#This Row],[Date]],"mmmm")</f>
        <v>January</v>
      </c>
      <c r="C290" s="14">
        <v>46042</v>
      </c>
      <c r="D290" s="2" t="s">
        <v>579</v>
      </c>
      <c r="E290" s="2" t="s">
        <v>15</v>
      </c>
      <c r="F290" s="2" t="s">
        <v>74</v>
      </c>
      <c r="G290" s="2" t="s">
        <v>17</v>
      </c>
      <c r="H290" s="2">
        <v>1</v>
      </c>
      <c r="I290" s="31">
        <v>104</v>
      </c>
      <c r="J290" s="3">
        <v>0</v>
      </c>
      <c r="K290" s="31">
        <v>104</v>
      </c>
      <c r="L290" s="2" t="s">
        <v>37</v>
      </c>
      <c r="M290" s="2" t="s">
        <v>30</v>
      </c>
      <c r="N290" s="35">
        <v>14</v>
      </c>
    </row>
    <row r="291" spans="1:14" x14ac:dyDescent="0.3">
      <c r="A291" s="4" t="s">
        <v>580</v>
      </c>
      <c r="B291" s="4" t="str">
        <f>TEXT(Table1[[#This Row],[Date]],"mmmm")</f>
        <v>July</v>
      </c>
      <c r="C291" s="14">
        <v>46209</v>
      </c>
      <c r="D291" s="2" t="s">
        <v>581</v>
      </c>
      <c r="E291" s="2" t="s">
        <v>27</v>
      </c>
      <c r="F291" s="2" t="s">
        <v>33</v>
      </c>
      <c r="G291" s="2" t="s">
        <v>17</v>
      </c>
      <c r="H291" s="2">
        <v>3</v>
      </c>
      <c r="I291" s="31">
        <v>646</v>
      </c>
      <c r="J291" s="3">
        <v>0.13</v>
      </c>
      <c r="K291" s="31">
        <v>1686</v>
      </c>
      <c r="L291" s="2" t="s">
        <v>37</v>
      </c>
      <c r="M291" s="2" t="s">
        <v>54</v>
      </c>
      <c r="N291" s="35">
        <v>286</v>
      </c>
    </row>
    <row r="292" spans="1:14" x14ac:dyDescent="0.3">
      <c r="A292" s="4" t="s">
        <v>582</v>
      </c>
      <c r="B292" s="4" t="str">
        <f>TEXT(Table1[[#This Row],[Date]],"mmmm")</f>
        <v>February</v>
      </c>
      <c r="C292" s="14">
        <v>46078</v>
      </c>
      <c r="D292" s="2" t="s">
        <v>583</v>
      </c>
      <c r="E292" s="2" t="s">
        <v>40</v>
      </c>
      <c r="F292" s="2" t="s">
        <v>48</v>
      </c>
      <c r="G292" s="2" t="s">
        <v>17</v>
      </c>
      <c r="H292" s="2">
        <v>4</v>
      </c>
      <c r="I292" s="31">
        <v>562</v>
      </c>
      <c r="J292" s="3">
        <v>0.18</v>
      </c>
      <c r="K292" s="31">
        <v>1843</v>
      </c>
      <c r="L292" s="2" t="s">
        <v>29</v>
      </c>
      <c r="M292" s="2" t="s">
        <v>54</v>
      </c>
      <c r="N292" s="35">
        <v>552</v>
      </c>
    </row>
    <row r="293" spans="1:14" x14ac:dyDescent="0.3">
      <c r="A293" s="4" t="s">
        <v>584</v>
      </c>
      <c r="B293" s="4" t="str">
        <f>TEXT(Table1[[#This Row],[Date]],"mmmm")</f>
        <v>February</v>
      </c>
      <c r="C293" s="14">
        <v>46077</v>
      </c>
      <c r="D293" s="2" t="s">
        <v>585</v>
      </c>
      <c r="E293" s="2" t="s">
        <v>40</v>
      </c>
      <c r="F293" s="2" t="s">
        <v>41</v>
      </c>
      <c r="G293" s="2" t="s">
        <v>17</v>
      </c>
      <c r="H293" s="2">
        <v>4</v>
      </c>
      <c r="I293" s="31">
        <v>87</v>
      </c>
      <c r="J293" s="3">
        <v>0</v>
      </c>
      <c r="K293" s="31">
        <v>348</v>
      </c>
      <c r="L293" s="2" t="s">
        <v>18</v>
      </c>
      <c r="M293" s="2" t="s">
        <v>54</v>
      </c>
      <c r="N293" s="35">
        <v>80</v>
      </c>
    </row>
    <row r="294" spans="1:14" x14ac:dyDescent="0.3">
      <c r="A294" s="4" t="s">
        <v>586</v>
      </c>
      <c r="B294" s="4" t="str">
        <f>TEXT(Table1[[#This Row],[Date]],"mmmm")</f>
        <v>November</v>
      </c>
      <c r="C294" s="14">
        <v>46340</v>
      </c>
      <c r="D294" s="2" t="s">
        <v>493</v>
      </c>
      <c r="E294" s="2" t="s">
        <v>15</v>
      </c>
      <c r="F294" s="2" t="s">
        <v>71</v>
      </c>
      <c r="G294" s="2" t="s">
        <v>17</v>
      </c>
      <c r="H294" s="2">
        <v>3</v>
      </c>
      <c r="I294" s="31">
        <v>318</v>
      </c>
      <c r="J294" s="3">
        <v>0.16</v>
      </c>
      <c r="K294" s="31">
        <v>801</v>
      </c>
      <c r="L294" s="2" t="s">
        <v>29</v>
      </c>
      <c r="M294" s="2" t="s">
        <v>54</v>
      </c>
      <c r="N294" s="35">
        <v>256</v>
      </c>
    </row>
    <row r="295" spans="1:14" x14ac:dyDescent="0.3">
      <c r="A295" s="4" t="s">
        <v>587</v>
      </c>
      <c r="B295" s="4" t="str">
        <f>TEXT(Table1[[#This Row],[Date]],"mmmm")</f>
        <v>October</v>
      </c>
      <c r="C295" s="14">
        <v>46319</v>
      </c>
      <c r="D295" s="2" t="s">
        <v>588</v>
      </c>
      <c r="E295" s="2" t="s">
        <v>40</v>
      </c>
      <c r="F295" s="2" t="s">
        <v>48</v>
      </c>
      <c r="G295" s="2" t="s">
        <v>17</v>
      </c>
      <c r="H295" s="2">
        <v>4</v>
      </c>
      <c r="I295" s="31">
        <v>795</v>
      </c>
      <c r="J295" s="3">
        <v>0.11</v>
      </c>
      <c r="K295" s="31">
        <v>2830</v>
      </c>
      <c r="L295" s="2" t="s">
        <v>24</v>
      </c>
      <c r="M295" s="2" t="s">
        <v>30</v>
      </c>
      <c r="N295" s="35">
        <v>650</v>
      </c>
    </row>
    <row r="296" spans="1:14" x14ac:dyDescent="0.3">
      <c r="A296" s="4" t="s">
        <v>589</v>
      </c>
      <c r="B296" s="4" t="str">
        <f>TEXT(Table1[[#This Row],[Date]],"mmmm")</f>
        <v>October</v>
      </c>
      <c r="C296" s="14">
        <v>46309</v>
      </c>
      <c r="D296" s="2" t="s">
        <v>590</v>
      </c>
      <c r="E296" s="2" t="s">
        <v>27</v>
      </c>
      <c r="F296" s="2" t="s">
        <v>16</v>
      </c>
      <c r="G296" s="2" t="s">
        <v>17</v>
      </c>
      <c r="H296" s="2">
        <v>4</v>
      </c>
      <c r="I296" s="31">
        <v>662</v>
      </c>
      <c r="J296" s="3">
        <v>0.16</v>
      </c>
      <c r="K296" s="31">
        <v>2224</v>
      </c>
      <c r="L296" s="2" t="s">
        <v>29</v>
      </c>
      <c r="M296" s="2" t="s">
        <v>19</v>
      </c>
      <c r="N296" s="35">
        <v>533</v>
      </c>
    </row>
    <row r="297" spans="1:14" x14ac:dyDescent="0.3">
      <c r="A297" s="4" t="s">
        <v>591</v>
      </c>
      <c r="B297" s="4" t="str">
        <f>TEXT(Table1[[#This Row],[Date]],"mmmm")</f>
        <v>September</v>
      </c>
      <c r="C297" s="14">
        <v>46289</v>
      </c>
      <c r="D297" s="2" t="s">
        <v>457</v>
      </c>
      <c r="E297" s="2" t="s">
        <v>15</v>
      </c>
      <c r="F297" s="2" t="s">
        <v>53</v>
      </c>
      <c r="G297" s="2" t="s">
        <v>17</v>
      </c>
      <c r="H297" s="2">
        <v>3</v>
      </c>
      <c r="I297" s="31">
        <v>548</v>
      </c>
      <c r="J297" s="3">
        <v>0.01</v>
      </c>
      <c r="K297" s="31">
        <v>1627</v>
      </c>
      <c r="L297" s="2" t="s">
        <v>24</v>
      </c>
      <c r="M297" s="2" t="s">
        <v>19</v>
      </c>
      <c r="N297" s="35">
        <v>471</v>
      </c>
    </row>
    <row r="298" spans="1:14" x14ac:dyDescent="0.3">
      <c r="A298" s="4" t="s">
        <v>592</v>
      </c>
      <c r="B298" s="4" t="str">
        <f>TEXT(Table1[[#This Row],[Date]],"mmmm")</f>
        <v>April</v>
      </c>
      <c r="C298" s="14">
        <v>46137</v>
      </c>
      <c r="D298" s="2" t="s">
        <v>593</v>
      </c>
      <c r="E298" s="2" t="s">
        <v>22</v>
      </c>
      <c r="F298" s="2" t="s">
        <v>71</v>
      </c>
      <c r="G298" s="2" t="s">
        <v>17</v>
      </c>
      <c r="H298" s="2">
        <v>5</v>
      </c>
      <c r="I298" s="31">
        <v>352</v>
      </c>
      <c r="J298" s="3">
        <v>0.18</v>
      </c>
      <c r="K298" s="31">
        <v>1443</v>
      </c>
      <c r="L298" s="2" t="s">
        <v>24</v>
      </c>
      <c r="M298" s="2" t="s">
        <v>54</v>
      </c>
      <c r="N298" s="35">
        <v>230</v>
      </c>
    </row>
    <row r="299" spans="1:14" x14ac:dyDescent="0.3">
      <c r="A299" s="4" t="s">
        <v>594</v>
      </c>
      <c r="B299" s="4" t="str">
        <f>TEXT(Table1[[#This Row],[Date]],"mmmm")</f>
        <v>January</v>
      </c>
      <c r="C299" s="14">
        <v>46027</v>
      </c>
      <c r="D299" s="2" t="s">
        <v>595</v>
      </c>
      <c r="E299" s="2" t="s">
        <v>15</v>
      </c>
      <c r="F299" s="2" t="s">
        <v>67</v>
      </c>
      <c r="G299" s="2" t="s">
        <v>17</v>
      </c>
      <c r="H299" s="2">
        <v>2</v>
      </c>
      <c r="I299" s="31">
        <v>782</v>
      </c>
      <c r="J299" s="3">
        <v>0.11</v>
      </c>
      <c r="K299" s="31">
        <v>1391</v>
      </c>
      <c r="L299" s="2" t="s">
        <v>37</v>
      </c>
      <c r="M299" s="2" t="s">
        <v>30</v>
      </c>
      <c r="N299" s="35">
        <v>403</v>
      </c>
    </row>
    <row r="300" spans="1:14" x14ac:dyDescent="0.3">
      <c r="A300" s="4" t="s">
        <v>596</v>
      </c>
      <c r="B300" s="4" t="str">
        <f>TEXT(Table1[[#This Row],[Date]],"mmmm")</f>
        <v>July</v>
      </c>
      <c r="C300" s="14">
        <v>46231</v>
      </c>
      <c r="D300" s="2" t="s">
        <v>154</v>
      </c>
      <c r="E300" s="2" t="s">
        <v>70</v>
      </c>
      <c r="F300" s="2" t="s">
        <v>67</v>
      </c>
      <c r="G300" s="2" t="s">
        <v>17</v>
      </c>
      <c r="H300" s="2">
        <v>1</v>
      </c>
      <c r="I300" s="31">
        <v>540</v>
      </c>
      <c r="J300" s="3">
        <v>0.16</v>
      </c>
      <c r="K300" s="31">
        <v>453</v>
      </c>
      <c r="L300" s="2" t="s">
        <v>29</v>
      </c>
      <c r="M300" s="2" t="s">
        <v>54</v>
      </c>
      <c r="N300" s="35">
        <v>86</v>
      </c>
    </row>
    <row r="301" spans="1:14" x14ac:dyDescent="0.3">
      <c r="A301" s="4" t="s">
        <v>597</v>
      </c>
      <c r="B301" s="4" t="str">
        <f>TEXT(Table1[[#This Row],[Date]],"mmmm")</f>
        <v>October</v>
      </c>
      <c r="C301" s="14">
        <v>46297</v>
      </c>
      <c r="D301" s="2" t="s">
        <v>363</v>
      </c>
      <c r="E301" s="2" t="s">
        <v>22</v>
      </c>
      <c r="F301" s="2" t="s">
        <v>33</v>
      </c>
      <c r="G301" s="2" t="s">
        <v>17</v>
      </c>
      <c r="H301" s="2">
        <v>1</v>
      </c>
      <c r="I301" s="31">
        <v>485</v>
      </c>
      <c r="J301" s="3">
        <v>0.12</v>
      </c>
      <c r="K301" s="31">
        <v>426</v>
      </c>
      <c r="L301" s="2" t="s">
        <v>18</v>
      </c>
      <c r="M301" s="2" t="s">
        <v>19</v>
      </c>
      <c r="N301" s="35">
        <v>55</v>
      </c>
    </row>
    <row r="302" spans="1:14" x14ac:dyDescent="0.3">
      <c r="A302" s="4" t="s">
        <v>598</v>
      </c>
      <c r="B302" s="4" t="str">
        <f>TEXT(Table1[[#This Row],[Date]],"mmmm")</f>
        <v>October</v>
      </c>
      <c r="C302" s="14">
        <v>46321</v>
      </c>
      <c r="D302" s="2" t="s">
        <v>599</v>
      </c>
      <c r="E302" s="2" t="s">
        <v>15</v>
      </c>
      <c r="F302" s="2" t="s">
        <v>28</v>
      </c>
      <c r="G302" s="2" t="s">
        <v>17</v>
      </c>
      <c r="H302" s="2">
        <v>3</v>
      </c>
      <c r="I302" s="31">
        <v>111</v>
      </c>
      <c r="J302" s="3">
        <v>0.01</v>
      </c>
      <c r="K302" s="31">
        <v>329</v>
      </c>
      <c r="L302" s="2" t="s">
        <v>24</v>
      </c>
      <c r="M302" s="2" t="s">
        <v>19</v>
      </c>
      <c r="N302" s="35">
        <v>98</v>
      </c>
    </row>
    <row r="303" spans="1:14" x14ac:dyDescent="0.3">
      <c r="A303" s="4" t="s">
        <v>600</v>
      </c>
      <c r="B303" s="4" t="str">
        <f>TEXT(Table1[[#This Row],[Date]],"mmmm")</f>
        <v>February</v>
      </c>
      <c r="C303" s="14">
        <v>46075</v>
      </c>
      <c r="D303" s="2" t="s">
        <v>601</v>
      </c>
      <c r="E303" s="2" t="s">
        <v>15</v>
      </c>
      <c r="F303" s="2" t="s">
        <v>36</v>
      </c>
      <c r="G303" s="2" t="s">
        <v>17</v>
      </c>
      <c r="H303" s="2">
        <v>4</v>
      </c>
      <c r="I303" s="31">
        <v>339</v>
      </c>
      <c r="J303" s="3">
        <v>0.17</v>
      </c>
      <c r="K303" s="31">
        <v>1125</v>
      </c>
      <c r="L303" s="2" t="s">
        <v>18</v>
      </c>
      <c r="M303" s="2" t="s">
        <v>54</v>
      </c>
      <c r="N303" s="35">
        <v>382</v>
      </c>
    </row>
    <row r="304" spans="1:14" x14ac:dyDescent="0.3">
      <c r="A304" s="4" t="s">
        <v>602</v>
      </c>
      <c r="B304" s="4" t="str">
        <f>TEXT(Table1[[#This Row],[Date]],"mmmm")</f>
        <v>September</v>
      </c>
      <c r="C304" s="14">
        <v>46281</v>
      </c>
      <c r="D304" s="2" t="s">
        <v>603</v>
      </c>
      <c r="E304" s="2" t="s">
        <v>22</v>
      </c>
      <c r="F304" s="2" t="s">
        <v>71</v>
      </c>
      <c r="G304" s="2" t="s">
        <v>17</v>
      </c>
      <c r="H304" s="2">
        <v>2</v>
      </c>
      <c r="I304" s="31">
        <v>694</v>
      </c>
      <c r="J304" s="3">
        <v>0.19</v>
      </c>
      <c r="K304" s="31">
        <v>1124</v>
      </c>
      <c r="L304" s="2" t="s">
        <v>29</v>
      </c>
      <c r="M304" s="2" t="s">
        <v>30</v>
      </c>
      <c r="N304" s="35">
        <v>348</v>
      </c>
    </row>
    <row r="305" spans="1:14" x14ac:dyDescent="0.3">
      <c r="A305" s="4" t="s">
        <v>604</v>
      </c>
      <c r="B305" s="4" t="str">
        <f>TEXT(Table1[[#This Row],[Date]],"mmmm")</f>
        <v>June</v>
      </c>
      <c r="C305" s="14">
        <v>46178</v>
      </c>
      <c r="D305" s="2" t="s">
        <v>605</v>
      </c>
      <c r="E305" s="2" t="s">
        <v>15</v>
      </c>
      <c r="F305" s="2" t="s">
        <v>33</v>
      </c>
      <c r="G305" s="2" t="s">
        <v>17</v>
      </c>
      <c r="H305" s="2">
        <v>1</v>
      </c>
      <c r="I305" s="31">
        <v>227</v>
      </c>
      <c r="J305" s="3">
        <v>0.06</v>
      </c>
      <c r="K305" s="31">
        <v>213</v>
      </c>
      <c r="L305" s="2" t="s">
        <v>29</v>
      </c>
      <c r="M305" s="2" t="s">
        <v>30</v>
      </c>
      <c r="N305" s="35">
        <v>25</v>
      </c>
    </row>
    <row r="306" spans="1:14" x14ac:dyDescent="0.3">
      <c r="A306" s="4" t="s">
        <v>606</v>
      </c>
      <c r="B306" s="4" t="str">
        <f>TEXT(Table1[[#This Row],[Date]],"mmmm")</f>
        <v>January</v>
      </c>
      <c r="C306" s="14">
        <v>46038</v>
      </c>
      <c r="D306" s="2" t="s">
        <v>607</v>
      </c>
      <c r="E306" s="2" t="s">
        <v>27</v>
      </c>
      <c r="F306" s="2" t="s">
        <v>67</v>
      </c>
      <c r="G306" s="2" t="s">
        <v>17</v>
      </c>
      <c r="H306" s="2">
        <v>2</v>
      </c>
      <c r="I306" s="31">
        <v>700</v>
      </c>
      <c r="J306" s="3">
        <v>0.05</v>
      </c>
      <c r="K306" s="31">
        <v>1330</v>
      </c>
      <c r="L306" s="2" t="s">
        <v>18</v>
      </c>
      <c r="M306" s="2" t="s">
        <v>19</v>
      </c>
      <c r="N306" s="35">
        <v>279</v>
      </c>
    </row>
    <row r="307" spans="1:14" x14ac:dyDescent="0.3">
      <c r="A307" s="4" t="s">
        <v>608</v>
      </c>
      <c r="B307" s="4" t="str">
        <f>TEXT(Table1[[#This Row],[Date]],"mmmm")</f>
        <v>November</v>
      </c>
      <c r="C307" s="14">
        <v>46348</v>
      </c>
      <c r="D307" s="2" t="s">
        <v>609</v>
      </c>
      <c r="E307" s="2" t="s">
        <v>70</v>
      </c>
      <c r="F307" s="2" t="s">
        <v>16</v>
      </c>
      <c r="G307" s="2" t="s">
        <v>17</v>
      </c>
      <c r="H307" s="2">
        <v>5</v>
      </c>
      <c r="I307" s="31">
        <v>607</v>
      </c>
      <c r="J307" s="3">
        <v>0.17</v>
      </c>
      <c r="K307" s="31">
        <v>2519</v>
      </c>
      <c r="L307" s="2" t="s">
        <v>18</v>
      </c>
      <c r="M307" s="2" t="s">
        <v>54</v>
      </c>
      <c r="N307" s="35">
        <v>579</v>
      </c>
    </row>
    <row r="308" spans="1:14" x14ac:dyDescent="0.3">
      <c r="A308" s="4" t="s">
        <v>610</v>
      </c>
      <c r="B308" s="4" t="str">
        <f>TEXT(Table1[[#This Row],[Date]],"mmmm")</f>
        <v>June</v>
      </c>
      <c r="C308" s="14">
        <v>46175</v>
      </c>
      <c r="D308" s="2" t="s">
        <v>493</v>
      </c>
      <c r="E308" s="2" t="s">
        <v>70</v>
      </c>
      <c r="F308" s="2" t="s">
        <v>41</v>
      </c>
      <c r="G308" s="2" t="s">
        <v>17</v>
      </c>
      <c r="H308" s="2">
        <v>2</v>
      </c>
      <c r="I308" s="31">
        <v>499</v>
      </c>
      <c r="J308" s="3">
        <v>0.02</v>
      </c>
      <c r="K308" s="31">
        <v>978</v>
      </c>
      <c r="L308" s="2" t="s">
        <v>24</v>
      </c>
      <c r="M308" s="2" t="s">
        <v>30</v>
      </c>
      <c r="N308" s="35">
        <v>322</v>
      </c>
    </row>
    <row r="309" spans="1:14" x14ac:dyDescent="0.3">
      <c r="A309" s="4" t="s">
        <v>611</v>
      </c>
      <c r="B309" s="4" t="str">
        <f>TEXT(Table1[[#This Row],[Date]],"mmmm")</f>
        <v>August</v>
      </c>
      <c r="C309" s="14">
        <v>46247</v>
      </c>
      <c r="D309" s="2" t="s">
        <v>612</v>
      </c>
      <c r="E309" s="2" t="s">
        <v>22</v>
      </c>
      <c r="F309" s="2" t="s">
        <v>28</v>
      </c>
      <c r="G309" s="2" t="s">
        <v>17</v>
      </c>
      <c r="H309" s="2">
        <v>3</v>
      </c>
      <c r="I309" s="31">
        <v>704</v>
      </c>
      <c r="J309" s="3">
        <v>0.05</v>
      </c>
      <c r="K309" s="31">
        <v>2006</v>
      </c>
      <c r="L309" s="2" t="s">
        <v>24</v>
      </c>
      <c r="M309" s="2" t="s">
        <v>54</v>
      </c>
      <c r="N309" s="35">
        <v>200</v>
      </c>
    </row>
    <row r="310" spans="1:14" x14ac:dyDescent="0.3">
      <c r="A310" s="4" t="s">
        <v>613</v>
      </c>
      <c r="B310" s="4" t="str">
        <f>TEXT(Table1[[#This Row],[Date]],"mmmm")</f>
        <v>November</v>
      </c>
      <c r="C310" s="14">
        <v>46346</v>
      </c>
      <c r="D310" s="2" t="s">
        <v>614</v>
      </c>
      <c r="E310" s="2" t="s">
        <v>40</v>
      </c>
      <c r="F310" s="2" t="s">
        <v>48</v>
      </c>
      <c r="G310" s="2" t="s">
        <v>17</v>
      </c>
      <c r="H310" s="2">
        <v>2</v>
      </c>
      <c r="I310" s="31">
        <v>184</v>
      </c>
      <c r="J310" s="3">
        <v>0.01</v>
      </c>
      <c r="K310" s="31">
        <v>364</v>
      </c>
      <c r="L310" s="2" t="s">
        <v>24</v>
      </c>
      <c r="M310" s="2" t="s">
        <v>30</v>
      </c>
      <c r="N310" s="35">
        <v>91</v>
      </c>
    </row>
    <row r="311" spans="1:14" x14ac:dyDescent="0.3">
      <c r="A311" s="4" t="s">
        <v>615</v>
      </c>
      <c r="B311" s="4" t="str">
        <f>TEXT(Table1[[#This Row],[Date]],"mmmm")</f>
        <v>September</v>
      </c>
      <c r="C311" s="14">
        <v>46267</v>
      </c>
      <c r="D311" s="2" t="s">
        <v>616</v>
      </c>
      <c r="E311" s="2" t="s">
        <v>15</v>
      </c>
      <c r="F311" s="2" t="s">
        <v>33</v>
      </c>
      <c r="G311" s="2" t="s">
        <v>17</v>
      </c>
      <c r="H311" s="2">
        <v>2</v>
      </c>
      <c r="I311" s="31">
        <v>230</v>
      </c>
      <c r="J311" s="3">
        <v>0.03</v>
      </c>
      <c r="K311" s="31">
        <v>446</v>
      </c>
      <c r="L311" s="2" t="s">
        <v>37</v>
      </c>
      <c r="M311" s="2" t="s">
        <v>30</v>
      </c>
      <c r="N311" s="35">
        <v>156</v>
      </c>
    </row>
    <row r="312" spans="1:14" x14ac:dyDescent="0.3">
      <c r="A312" s="4" t="s">
        <v>617</v>
      </c>
      <c r="B312" s="4" t="str">
        <f>TEXT(Table1[[#This Row],[Date]],"mmmm")</f>
        <v>April</v>
      </c>
      <c r="C312" s="14">
        <v>46114</v>
      </c>
      <c r="D312" s="2" t="s">
        <v>618</v>
      </c>
      <c r="E312" s="2" t="s">
        <v>40</v>
      </c>
      <c r="F312" s="2" t="s">
        <v>16</v>
      </c>
      <c r="G312" s="2" t="s">
        <v>17</v>
      </c>
      <c r="H312" s="2">
        <v>2</v>
      </c>
      <c r="I312" s="31">
        <v>510</v>
      </c>
      <c r="J312" s="3">
        <v>0</v>
      </c>
      <c r="K312" s="31">
        <v>1020</v>
      </c>
      <c r="L312" s="2" t="s">
        <v>18</v>
      </c>
      <c r="M312" s="2" t="s">
        <v>30</v>
      </c>
      <c r="N312" s="35">
        <v>306</v>
      </c>
    </row>
    <row r="313" spans="1:14" x14ac:dyDescent="0.3">
      <c r="A313" s="4" t="s">
        <v>619</v>
      </c>
      <c r="B313" s="4" t="str">
        <f>TEXT(Table1[[#This Row],[Date]],"mmmm")</f>
        <v>April</v>
      </c>
      <c r="C313" s="14">
        <v>46114</v>
      </c>
      <c r="D313" s="2" t="s">
        <v>620</v>
      </c>
      <c r="E313" s="2" t="s">
        <v>22</v>
      </c>
      <c r="F313" s="2" t="s">
        <v>74</v>
      </c>
      <c r="G313" s="2" t="s">
        <v>17</v>
      </c>
      <c r="H313" s="2">
        <v>1</v>
      </c>
      <c r="I313" s="31">
        <v>339</v>
      </c>
      <c r="J313" s="3">
        <v>0.13</v>
      </c>
      <c r="K313" s="31">
        <v>294</v>
      </c>
      <c r="L313" s="2" t="s">
        <v>37</v>
      </c>
      <c r="M313" s="2" t="s">
        <v>19</v>
      </c>
      <c r="N313" s="35">
        <v>61</v>
      </c>
    </row>
    <row r="314" spans="1:14" x14ac:dyDescent="0.3">
      <c r="A314" s="4" t="s">
        <v>621</v>
      </c>
      <c r="B314" s="4" t="str">
        <f>TEXT(Table1[[#This Row],[Date]],"mmmm")</f>
        <v>August</v>
      </c>
      <c r="C314" s="14">
        <v>46260</v>
      </c>
      <c r="D314" s="2" t="s">
        <v>622</v>
      </c>
      <c r="E314" s="2" t="s">
        <v>27</v>
      </c>
      <c r="F314" s="2" t="s">
        <v>33</v>
      </c>
      <c r="G314" s="2" t="s">
        <v>17</v>
      </c>
      <c r="H314" s="2">
        <v>4</v>
      </c>
      <c r="I314" s="31">
        <v>719</v>
      </c>
      <c r="J314" s="3">
        <v>0.02</v>
      </c>
      <c r="K314" s="31">
        <v>2818</v>
      </c>
      <c r="L314" s="2" t="s">
        <v>24</v>
      </c>
      <c r="M314" s="2" t="s">
        <v>54</v>
      </c>
      <c r="N314" s="35">
        <v>338</v>
      </c>
    </row>
    <row r="315" spans="1:14" x14ac:dyDescent="0.3">
      <c r="A315" s="4" t="s">
        <v>623</v>
      </c>
      <c r="B315" s="4" t="str">
        <f>TEXT(Table1[[#This Row],[Date]],"mmmm")</f>
        <v>November</v>
      </c>
      <c r="C315" s="14">
        <v>46335</v>
      </c>
      <c r="D315" s="2" t="s">
        <v>80</v>
      </c>
      <c r="E315" s="2" t="s">
        <v>15</v>
      </c>
      <c r="F315" s="2" t="s">
        <v>28</v>
      </c>
      <c r="G315" s="2" t="s">
        <v>17</v>
      </c>
      <c r="H315" s="2">
        <v>4</v>
      </c>
      <c r="I315" s="31">
        <v>662</v>
      </c>
      <c r="J315" s="3">
        <v>0.14000000000000001</v>
      </c>
      <c r="K315" s="31">
        <v>2277</v>
      </c>
      <c r="L315" s="2" t="s">
        <v>24</v>
      </c>
      <c r="M315" s="2" t="s">
        <v>30</v>
      </c>
      <c r="N315" s="35">
        <v>523</v>
      </c>
    </row>
    <row r="316" spans="1:14" x14ac:dyDescent="0.3">
      <c r="A316" s="4" t="s">
        <v>624</v>
      </c>
      <c r="B316" s="4" t="str">
        <f>TEXT(Table1[[#This Row],[Date]],"mmmm")</f>
        <v>June</v>
      </c>
      <c r="C316" s="14">
        <v>46174</v>
      </c>
      <c r="D316" s="2" t="s">
        <v>625</v>
      </c>
      <c r="E316" s="2" t="s">
        <v>15</v>
      </c>
      <c r="F316" s="2" t="s">
        <v>36</v>
      </c>
      <c r="G316" s="2" t="s">
        <v>17</v>
      </c>
      <c r="H316" s="2">
        <v>2</v>
      </c>
      <c r="I316" s="31">
        <v>725</v>
      </c>
      <c r="J316" s="3">
        <v>0.03</v>
      </c>
      <c r="K316" s="31">
        <v>1406</v>
      </c>
      <c r="L316" s="2" t="s">
        <v>18</v>
      </c>
      <c r="M316" s="2" t="s">
        <v>54</v>
      </c>
      <c r="N316" s="35">
        <v>267</v>
      </c>
    </row>
    <row r="317" spans="1:14" x14ac:dyDescent="0.3">
      <c r="A317" s="4" t="s">
        <v>626</v>
      </c>
      <c r="B317" s="4" t="str">
        <f>TEXT(Table1[[#This Row],[Date]],"mmmm")</f>
        <v>September</v>
      </c>
      <c r="C317" s="14">
        <v>46287</v>
      </c>
      <c r="D317" s="2" t="s">
        <v>627</v>
      </c>
      <c r="E317" s="2" t="s">
        <v>40</v>
      </c>
      <c r="F317" s="2" t="s">
        <v>53</v>
      </c>
      <c r="G317" s="2" t="s">
        <v>17</v>
      </c>
      <c r="H317" s="2">
        <v>3</v>
      </c>
      <c r="I317" s="31">
        <v>502</v>
      </c>
      <c r="J317" s="3">
        <v>0.2</v>
      </c>
      <c r="K317" s="31">
        <v>1204</v>
      </c>
      <c r="L317" s="2" t="s">
        <v>29</v>
      </c>
      <c r="M317" s="2" t="s">
        <v>30</v>
      </c>
      <c r="N317" s="35">
        <v>385</v>
      </c>
    </row>
    <row r="318" spans="1:14" x14ac:dyDescent="0.3">
      <c r="A318" s="4" t="s">
        <v>628</v>
      </c>
      <c r="B318" s="4" t="str">
        <f>TEXT(Table1[[#This Row],[Date]],"mmmm")</f>
        <v>August</v>
      </c>
      <c r="C318" s="14">
        <v>46250</v>
      </c>
      <c r="D318" s="2" t="s">
        <v>412</v>
      </c>
      <c r="E318" s="2" t="s">
        <v>70</v>
      </c>
      <c r="F318" s="2" t="s">
        <v>28</v>
      </c>
      <c r="G318" s="2" t="s">
        <v>17</v>
      </c>
      <c r="H318" s="2">
        <v>1</v>
      </c>
      <c r="I318" s="31">
        <v>207</v>
      </c>
      <c r="J318" s="3">
        <v>0.09</v>
      </c>
      <c r="K318" s="31">
        <v>188</v>
      </c>
      <c r="L318" s="2" t="s">
        <v>24</v>
      </c>
      <c r="M318" s="2" t="s">
        <v>30</v>
      </c>
      <c r="N318" s="35">
        <v>54</v>
      </c>
    </row>
    <row r="319" spans="1:14" x14ac:dyDescent="0.3">
      <c r="A319" s="4" t="s">
        <v>629</v>
      </c>
      <c r="B319" s="4" t="str">
        <f>TEXT(Table1[[#This Row],[Date]],"mmmm")</f>
        <v>May</v>
      </c>
      <c r="C319" s="14">
        <v>46161</v>
      </c>
      <c r="D319" s="2" t="s">
        <v>630</v>
      </c>
      <c r="E319" s="2" t="s">
        <v>15</v>
      </c>
      <c r="F319" s="2" t="s">
        <v>53</v>
      </c>
      <c r="G319" s="2" t="s">
        <v>17</v>
      </c>
      <c r="H319" s="2">
        <v>5</v>
      </c>
      <c r="I319" s="31">
        <v>759</v>
      </c>
      <c r="J319" s="3">
        <v>0.13</v>
      </c>
      <c r="K319" s="31">
        <v>3301</v>
      </c>
      <c r="L319" s="2" t="s">
        <v>18</v>
      </c>
      <c r="M319" s="2" t="s">
        <v>30</v>
      </c>
      <c r="N319" s="35">
        <v>693</v>
      </c>
    </row>
    <row r="320" spans="1:14" x14ac:dyDescent="0.3">
      <c r="A320" s="4" t="s">
        <v>631</v>
      </c>
      <c r="B320" s="4" t="str">
        <f>TEXT(Table1[[#This Row],[Date]],"mmmm")</f>
        <v>January</v>
      </c>
      <c r="C320" s="14">
        <v>46049</v>
      </c>
      <c r="D320" s="2" t="s">
        <v>122</v>
      </c>
      <c r="E320" s="2" t="s">
        <v>22</v>
      </c>
      <c r="F320" s="2" t="s">
        <v>48</v>
      </c>
      <c r="G320" s="2" t="s">
        <v>17</v>
      </c>
      <c r="H320" s="2">
        <v>2</v>
      </c>
      <c r="I320" s="31">
        <v>702</v>
      </c>
      <c r="J320" s="3">
        <v>0</v>
      </c>
      <c r="K320" s="31">
        <v>1404</v>
      </c>
      <c r="L320" s="2" t="s">
        <v>37</v>
      </c>
      <c r="M320" s="2" t="s">
        <v>19</v>
      </c>
      <c r="N320" s="35">
        <v>252</v>
      </c>
    </row>
    <row r="321" spans="1:14" x14ac:dyDescent="0.3">
      <c r="A321" s="4" t="s">
        <v>632</v>
      </c>
      <c r="B321" s="4" t="str">
        <f>TEXT(Table1[[#This Row],[Date]],"mmmm")</f>
        <v>February</v>
      </c>
      <c r="C321" s="14">
        <v>46068</v>
      </c>
      <c r="D321" s="2" t="s">
        <v>554</v>
      </c>
      <c r="E321" s="2" t="s">
        <v>40</v>
      </c>
      <c r="F321" s="2" t="s">
        <v>23</v>
      </c>
      <c r="G321" s="2" t="s">
        <v>17</v>
      </c>
      <c r="H321" s="2">
        <v>4</v>
      </c>
      <c r="I321" s="31">
        <v>633</v>
      </c>
      <c r="J321" s="3">
        <v>0.14000000000000001</v>
      </c>
      <c r="K321" s="31">
        <v>2177</v>
      </c>
      <c r="L321" s="2" t="s">
        <v>29</v>
      </c>
      <c r="M321" s="2" t="s">
        <v>54</v>
      </c>
      <c r="N321" s="35">
        <v>500</v>
      </c>
    </row>
    <row r="322" spans="1:14" x14ac:dyDescent="0.3">
      <c r="A322" s="4" t="s">
        <v>633</v>
      </c>
      <c r="B322" s="4" t="str">
        <f>TEXT(Table1[[#This Row],[Date]],"mmmm")</f>
        <v>December</v>
      </c>
      <c r="C322" s="14">
        <v>46381</v>
      </c>
      <c r="D322" s="2" t="s">
        <v>634</v>
      </c>
      <c r="E322" s="2" t="s">
        <v>22</v>
      </c>
      <c r="F322" s="2" t="s">
        <v>71</v>
      </c>
      <c r="G322" s="2" t="s">
        <v>17</v>
      </c>
      <c r="H322" s="2">
        <v>3</v>
      </c>
      <c r="I322" s="31">
        <v>149</v>
      </c>
      <c r="J322" s="3">
        <v>0.17</v>
      </c>
      <c r="K322" s="31">
        <v>371</v>
      </c>
      <c r="L322" s="2" t="s">
        <v>24</v>
      </c>
      <c r="M322" s="2" t="s">
        <v>54</v>
      </c>
      <c r="N322" s="35">
        <v>44</v>
      </c>
    </row>
    <row r="323" spans="1:14" x14ac:dyDescent="0.3">
      <c r="A323" s="4" t="s">
        <v>635</v>
      </c>
      <c r="B323" s="4" t="str">
        <f>TEXT(Table1[[#This Row],[Date]],"mmmm")</f>
        <v>September</v>
      </c>
      <c r="C323" s="14">
        <v>46291</v>
      </c>
      <c r="D323" s="2" t="s">
        <v>636</v>
      </c>
      <c r="E323" s="2" t="s">
        <v>22</v>
      </c>
      <c r="F323" s="2" t="s">
        <v>16</v>
      </c>
      <c r="G323" s="2" t="s">
        <v>17</v>
      </c>
      <c r="H323" s="2">
        <v>3</v>
      </c>
      <c r="I323" s="31">
        <v>752</v>
      </c>
      <c r="J323" s="3">
        <v>7.0000000000000007E-2</v>
      </c>
      <c r="K323" s="31">
        <v>2098</v>
      </c>
      <c r="L323" s="2" t="s">
        <v>29</v>
      </c>
      <c r="M323" s="2" t="s">
        <v>30</v>
      </c>
      <c r="N323" s="35">
        <v>440</v>
      </c>
    </row>
    <row r="324" spans="1:14" x14ac:dyDescent="0.3">
      <c r="A324" s="4" t="s">
        <v>637</v>
      </c>
      <c r="B324" s="4" t="str">
        <f>TEXT(Table1[[#This Row],[Date]],"mmmm")</f>
        <v>January</v>
      </c>
      <c r="C324" s="14">
        <v>46031</v>
      </c>
      <c r="D324" s="2" t="s">
        <v>26</v>
      </c>
      <c r="E324" s="2" t="s">
        <v>15</v>
      </c>
      <c r="F324" s="2" t="s">
        <v>23</v>
      </c>
      <c r="G324" s="2" t="s">
        <v>17</v>
      </c>
      <c r="H324" s="2">
        <v>5</v>
      </c>
      <c r="I324" s="31">
        <v>150</v>
      </c>
      <c r="J324" s="3">
        <v>0.16</v>
      </c>
      <c r="K324" s="31">
        <v>630</v>
      </c>
      <c r="L324" s="2" t="s">
        <v>24</v>
      </c>
      <c r="M324" s="2" t="s">
        <v>54</v>
      </c>
      <c r="N324" s="35">
        <v>119</v>
      </c>
    </row>
    <row r="325" spans="1:14" x14ac:dyDescent="0.3">
      <c r="A325" s="4" t="s">
        <v>638</v>
      </c>
      <c r="B325" s="4" t="str">
        <f>TEXT(Table1[[#This Row],[Date]],"mmmm")</f>
        <v>June</v>
      </c>
      <c r="C325" s="14">
        <v>46182</v>
      </c>
      <c r="D325" s="2" t="s">
        <v>639</v>
      </c>
      <c r="E325" s="2" t="s">
        <v>40</v>
      </c>
      <c r="F325" s="2" t="s">
        <v>36</v>
      </c>
      <c r="G325" s="2" t="s">
        <v>17</v>
      </c>
      <c r="H325" s="2">
        <v>3</v>
      </c>
      <c r="I325" s="31">
        <v>667</v>
      </c>
      <c r="J325" s="3">
        <v>0.09</v>
      </c>
      <c r="K325" s="31">
        <v>1820</v>
      </c>
      <c r="L325" s="2" t="s">
        <v>37</v>
      </c>
      <c r="M325" s="2" t="s">
        <v>54</v>
      </c>
      <c r="N325" s="35">
        <v>254</v>
      </c>
    </row>
    <row r="326" spans="1:14" x14ac:dyDescent="0.3">
      <c r="A326" s="4" t="s">
        <v>640</v>
      </c>
      <c r="B326" s="4" t="str">
        <f>TEXT(Table1[[#This Row],[Date]],"mmmm")</f>
        <v>April</v>
      </c>
      <c r="C326" s="14">
        <v>46134</v>
      </c>
      <c r="D326" s="2" t="s">
        <v>378</v>
      </c>
      <c r="E326" s="2" t="s">
        <v>27</v>
      </c>
      <c r="F326" s="2" t="s">
        <v>74</v>
      </c>
      <c r="G326" s="2" t="s">
        <v>17</v>
      </c>
      <c r="H326" s="2">
        <v>2</v>
      </c>
      <c r="I326" s="31">
        <v>187</v>
      </c>
      <c r="J326" s="3">
        <v>0.2</v>
      </c>
      <c r="K326" s="31">
        <v>299</v>
      </c>
      <c r="L326" s="2" t="s">
        <v>24</v>
      </c>
      <c r="M326" s="2" t="s">
        <v>54</v>
      </c>
      <c r="N326" s="35">
        <v>89</v>
      </c>
    </row>
    <row r="327" spans="1:14" x14ac:dyDescent="0.3">
      <c r="A327" s="4" t="s">
        <v>641</v>
      </c>
      <c r="B327" s="4" t="str">
        <f>TEXT(Table1[[#This Row],[Date]],"mmmm")</f>
        <v>November</v>
      </c>
      <c r="C327" s="14">
        <v>46329</v>
      </c>
      <c r="D327" s="2" t="s">
        <v>642</v>
      </c>
      <c r="E327" s="2" t="s">
        <v>22</v>
      </c>
      <c r="F327" s="2" t="s">
        <v>48</v>
      </c>
      <c r="G327" s="2" t="s">
        <v>17</v>
      </c>
      <c r="H327" s="2">
        <v>5</v>
      </c>
      <c r="I327" s="31">
        <v>202</v>
      </c>
      <c r="J327" s="3">
        <v>0.16</v>
      </c>
      <c r="K327" s="31">
        <v>848</v>
      </c>
      <c r="L327" s="2" t="s">
        <v>29</v>
      </c>
      <c r="M327" s="2" t="s">
        <v>30</v>
      </c>
      <c r="N327" s="35">
        <v>110</v>
      </c>
    </row>
    <row r="328" spans="1:14" x14ac:dyDescent="0.3">
      <c r="A328" s="4" t="s">
        <v>643</v>
      </c>
      <c r="B328" s="4" t="str">
        <f>TEXT(Table1[[#This Row],[Date]],"mmmm")</f>
        <v>February</v>
      </c>
      <c r="C328" s="14">
        <v>46081</v>
      </c>
      <c r="D328" s="2" t="s">
        <v>644</v>
      </c>
      <c r="E328" s="2" t="s">
        <v>22</v>
      </c>
      <c r="F328" s="2" t="s">
        <v>28</v>
      </c>
      <c r="G328" s="2" t="s">
        <v>17</v>
      </c>
      <c r="H328" s="2">
        <v>5</v>
      </c>
      <c r="I328" s="31">
        <v>517</v>
      </c>
      <c r="J328" s="3">
        <v>0.16</v>
      </c>
      <c r="K328" s="31">
        <v>2171</v>
      </c>
      <c r="L328" s="2" t="s">
        <v>29</v>
      </c>
      <c r="M328" s="2" t="s">
        <v>19</v>
      </c>
      <c r="N328" s="35">
        <v>738</v>
      </c>
    </row>
    <row r="329" spans="1:14" x14ac:dyDescent="0.3">
      <c r="A329" s="4" t="s">
        <v>645</v>
      </c>
      <c r="B329" s="4" t="str">
        <f>TEXT(Table1[[#This Row],[Date]],"mmmm")</f>
        <v>November</v>
      </c>
      <c r="C329" s="14">
        <v>46347</v>
      </c>
      <c r="D329" s="2" t="s">
        <v>646</v>
      </c>
      <c r="E329" s="2" t="s">
        <v>27</v>
      </c>
      <c r="F329" s="2" t="s">
        <v>67</v>
      </c>
      <c r="G329" s="2" t="s">
        <v>17</v>
      </c>
      <c r="H329" s="2">
        <v>3</v>
      </c>
      <c r="I329" s="31">
        <v>491</v>
      </c>
      <c r="J329" s="3">
        <v>0.1</v>
      </c>
      <c r="K329" s="31">
        <v>1325</v>
      </c>
      <c r="L329" s="2" t="s">
        <v>24</v>
      </c>
      <c r="M329" s="2" t="s">
        <v>30</v>
      </c>
      <c r="N329" s="35">
        <v>225</v>
      </c>
    </row>
    <row r="330" spans="1:14" x14ac:dyDescent="0.3">
      <c r="A330" s="4" t="s">
        <v>647</v>
      </c>
      <c r="B330" s="4" t="str">
        <f>TEXT(Table1[[#This Row],[Date]],"mmmm")</f>
        <v>November</v>
      </c>
      <c r="C330" s="14">
        <v>46349</v>
      </c>
      <c r="D330" s="2" t="s">
        <v>648</v>
      </c>
      <c r="E330" s="2" t="s">
        <v>15</v>
      </c>
      <c r="F330" s="2" t="s">
        <v>16</v>
      </c>
      <c r="G330" s="2" t="s">
        <v>17</v>
      </c>
      <c r="H330" s="2">
        <v>1</v>
      </c>
      <c r="I330" s="31">
        <v>774</v>
      </c>
      <c r="J330" s="3">
        <v>0.01</v>
      </c>
      <c r="K330" s="31">
        <v>766</v>
      </c>
      <c r="L330" s="2" t="s">
        <v>29</v>
      </c>
      <c r="M330" s="2" t="s">
        <v>30</v>
      </c>
      <c r="N330" s="35">
        <v>268</v>
      </c>
    </row>
    <row r="331" spans="1:14" x14ac:dyDescent="0.3">
      <c r="A331" s="4" t="s">
        <v>649</v>
      </c>
      <c r="B331" s="4" t="str">
        <f>TEXT(Table1[[#This Row],[Date]],"mmmm")</f>
        <v>January</v>
      </c>
      <c r="C331" s="14">
        <v>46043</v>
      </c>
      <c r="D331" s="2" t="s">
        <v>493</v>
      </c>
      <c r="E331" s="2" t="s">
        <v>15</v>
      </c>
      <c r="F331" s="2" t="s">
        <v>48</v>
      </c>
      <c r="G331" s="2" t="s">
        <v>17</v>
      </c>
      <c r="H331" s="2">
        <v>4</v>
      </c>
      <c r="I331" s="31">
        <v>116</v>
      </c>
      <c r="J331" s="3">
        <v>0.04</v>
      </c>
      <c r="K331" s="31">
        <v>445</v>
      </c>
      <c r="L331" s="2" t="s">
        <v>37</v>
      </c>
      <c r="M331" s="2" t="s">
        <v>54</v>
      </c>
      <c r="N331" s="35">
        <v>93</v>
      </c>
    </row>
    <row r="332" spans="1:14" x14ac:dyDescent="0.3">
      <c r="A332" s="4" t="s">
        <v>650</v>
      </c>
      <c r="B332" s="4" t="str">
        <f>TEXT(Table1[[#This Row],[Date]],"mmmm")</f>
        <v>February</v>
      </c>
      <c r="C332" s="14">
        <v>46079</v>
      </c>
      <c r="D332" s="2" t="s">
        <v>651</v>
      </c>
      <c r="E332" s="2" t="s">
        <v>27</v>
      </c>
      <c r="F332" s="2" t="s">
        <v>16</v>
      </c>
      <c r="G332" s="2" t="s">
        <v>17</v>
      </c>
      <c r="H332" s="2">
        <v>2</v>
      </c>
      <c r="I332" s="31">
        <v>151</v>
      </c>
      <c r="J332" s="3">
        <v>0.06</v>
      </c>
      <c r="K332" s="31">
        <v>283</v>
      </c>
      <c r="L332" s="2" t="s">
        <v>29</v>
      </c>
      <c r="M332" s="2" t="s">
        <v>30</v>
      </c>
      <c r="N332" s="35">
        <v>82</v>
      </c>
    </row>
    <row r="333" spans="1:14" x14ac:dyDescent="0.3">
      <c r="A333" s="4" t="s">
        <v>652</v>
      </c>
      <c r="B333" s="4" t="str">
        <f>TEXT(Table1[[#This Row],[Date]],"mmmm")</f>
        <v>May</v>
      </c>
      <c r="C333" s="14">
        <v>46154</v>
      </c>
      <c r="D333" s="2" t="s">
        <v>474</v>
      </c>
      <c r="E333" s="2" t="s">
        <v>22</v>
      </c>
      <c r="F333" s="2" t="s">
        <v>23</v>
      </c>
      <c r="G333" s="2" t="s">
        <v>17</v>
      </c>
      <c r="H333" s="2">
        <v>4</v>
      </c>
      <c r="I333" s="31">
        <v>561</v>
      </c>
      <c r="J333" s="3">
        <v>0.05</v>
      </c>
      <c r="K333" s="31">
        <v>2131</v>
      </c>
      <c r="L333" s="2" t="s">
        <v>37</v>
      </c>
      <c r="M333" s="2" t="s">
        <v>19</v>
      </c>
      <c r="N333" s="35">
        <v>490</v>
      </c>
    </row>
    <row r="334" spans="1:14" x14ac:dyDescent="0.3">
      <c r="A334" s="4" t="s">
        <v>653</v>
      </c>
      <c r="B334" s="4" t="str">
        <f>TEXT(Table1[[#This Row],[Date]],"mmmm")</f>
        <v>November</v>
      </c>
      <c r="C334" s="14">
        <v>46330</v>
      </c>
      <c r="D334" s="2" t="s">
        <v>654</v>
      </c>
      <c r="E334" s="2" t="s">
        <v>27</v>
      </c>
      <c r="F334" s="2" t="s">
        <v>67</v>
      </c>
      <c r="G334" s="2" t="s">
        <v>17</v>
      </c>
      <c r="H334" s="2">
        <v>5</v>
      </c>
      <c r="I334" s="31">
        <v>622</v>
      </c>
      <c r="J334" s="3">
        <v>0.04</v>
      </c>
      <c r="K334" s="31">
        <v>2985</v>
      </c>
      <c r="L334" s="2" t="s">
        <v>29</v>
      </c>
      <c r="M334" s="2" t="s">
        <v>54</v>
      </c>
      <c r="N334" s="35">
        <v>626</v>
      </c>
    </row>
    <row r="335" spans="1:14" x14ac:dyDescent="0.3">
      <c r="A335" s="4" t="s">
        <v>655</v>
      </c>
      <c r="B335" s="4" t="str">
        <f>TEXT(Table1[[#This Row],[Date]],"mmmm")</f>
        <v>November</v>
      </c>
      <c r="C335" s="14">
        <v>46328</v>
      </c>
      <c r="D335" s="2" t="s">
        <v>227</v>
      </c>
      <c r="E335" s="2" t="s">
        <v>27</v>
      </c>
      <c r="F335" s="2" t="s">
        <v>23</v>
      </c>
      <c r="G335" s="2" t="s">
        <v>17</v>
      </c>
      <c r="H335" s="2">
        <v>5</v>
      </c>
      <c r="I335" s="31">
        <v>755</v>
      </c>
      <c r="J335" s="3">
        <v>0.02</v>
      </c>
      <c r="K335" s="31">
        <v>3699</v>
      </c>
      <c r="L335" s="2" t="s">
        <v>37</v>
      </c>
      <c r="M335" s="2" t="s">
        <v>19</v>
      </c>
      <c r="N335" s="35">
        <v>739</v>
      </c>
    </row>
    <row r="336" spans="1:14" x14ac:dyDescent="0.3">
      <c r="A336" s="4" t="s">
        <v>656</v>
      </c>
      <c r="B336" s="4" t="str">
        <f>TEXT(Table1[[#This Row],[Date]],"mmmm")</f>
        <v>August</v>
      </c>
      <c r="C336" s="14">
        <v>46259</v>
      </c>
      <c r="D336" s="2" t="s">
        <v>657</v>
      </c>
      <c r="E336" s="2" t="s">
        <v>15</v>
      </c>
      <c r="F336" s="2" t="s">
        <v>41</v>
      </c>
      <c r="G336" s="2" t="s">
        <v>17</v>
      </c>
      <c r="H336" s="2">
        <v>5</v>
      </c>
      <c r="I336" s="31">
        <v>709</v>
      </c>
      <c r="J336" s="3">
        <v>7.0000000000000007E-2</v>
      </c>
      <c r="K336" s="31">
        <v>3296</v>
      </c>
      <c r="L336" s="2" t="s">
        <v>29</v>
      </c>
      <c r="M336" s="2" t="s">
        <v>19</v>
      </c>
      <c r="N336" s="35">
        <v>922</v>
      </c>
    </row>
    <row r="337" spans="1:14" x14ac:dyDescent="0.3">
      <c r="A337" s="4" t="s">
        <v>658</v>
      </c>
      <c r="B337" s="4" t="str">
        <f>TEXT(Table1[[#This Row],[Date]],"mmmm")</f>
        <v>January</v>
      </c>
      <c r="C337" s="14">
        <v>46038</v>
      </c>
      <c r="D337" s="2" t="s">
        <v>374</v>
      </c>
      <c r="E337" s="2" t="s">
        <v>70</v>
      </c>
      <c r="F337" s="2" t="s">
        <v>48</v>
      </c>
      <c r="G337" s="2" t="s">
        <v>17</v>
      </c>
      <c r="H337" s="2">
        <v>4</v>
      </c>
      <c r="I337" s="31">
        <v>385</v>
      </c>
      <c r="J337" s="3">
        <v>0.06</v>
      </c>
      <c r="K337" s="31">
        <v>1447</v>
      </c>
      <c r="L337" s="2" t="s">
        <v>29</v>
      </c>
      <c r="M337" s="2" t="s">
        <v>19</v>
      </c>
      <c r="N337" s="35">
        <v>434</v>
      </c>
    </row>
    <row r="338" spans="1:14" x14ac:dyDescent="0.3">
      <c r="A338" s="4" t="s">
        <v>659</v>
      </c>
      <c r="B338" s="4" t="str">
        <f>TEXT(Table1[[#This Row],[Date]],"mmmm")</f>
        <v>August</v>
      </c>
      <c r="C338" s="14">
        <v>46255</v>
      </c>
      <c r="D338" s="2" t="s">
        <v>217</v>
      </c>
      <c r="E338" s="2" t="s">
        <v>27</v>
      </c>
      <c r="F338" s="2" t="s">
        <v>41</v>
      </c>
      <c r="G338" s="2" t="s">
        <v>17</v>
      </c>
      <c r="H338" s="2">
        <v>3</v>
      </c>
      <c r="I338" s="31">
        <v>657</v>
      </c>
      <c r="J338" s="3">
        <v>0.06</v>
      </c>
      <c r="K338" s="31">
        <v>1852</v>
      </c>
      <c r="L338" s="2" t="s">
        <v>29</v>
      </c>
      <c r="M338" s="2" t="s">
        <v>30</v>
      </c>
      <c r="N338" s="35">
        <v>425</v>
      </c>
    </row>
    <row r="339" spans="1:14" x14ac:dyDescent="0.3">
      <c r="A339" s="4" t="s">
        <v>660</v>
      </c>
      <c r="B339" s="4" t="str">
        <f>TEXT(Table1[[#This Row],[Date]],"mmmm")</f>
        <v>May</v>
      </c>
      <c r="C339" s="14">
        <v>46170</v>
      </c>
      <c r="D339" s="2" t="s">
        <v>88</v>
      </c>
      <c r="E339" s="2" t="s">
        <v>15</v>
      </c>
      <c r="F339" s="2" t="s">
        <v>28</v>
      </c>
      <c r="G339" s="2" t="s">
        <v>17</v>
      </c>
      <c r="H339" s="2">
        <v>5</v>
      </c>
      <c r="I339" s="31">
        <v>214</v>
      </c>
      <c r="J339" s="3">
        <v>0.2</v>
      </c>
      <c r="K339" s="31">
        <v>856</v>
      </c>
      <c r="L339" s="2" t="s">
        <v>37</v>
      </c>
      <c r="M339" s="2" t="s">
        <v>30</v>
      </c>
      <c r="N339" s="35">
        <v>299</v>
      </c>
    </row>
    <row r="340" spans="1:14" x14ac:dyDescent="0.3">
      <c r="A340" s="4" t="s">
        <v>661</v>
      </c>
      <c r="B340" s="4" t="str">
        <f>TEXT(Table1[[#This Row],[Date]],"mmmm")</f>
        <v>August</v>
      </c>
      <c r="C340" s="14">
        <v>46237</v>
      </c>
      <c r="D340" s="2" t="s">
        <v>607</v>
      </c>
      <c r="E340" s="2" t="s">
        <v>40</v>
      </c>
      <c r="F340" s="2" t="s">
        <v>53</v>
      </c>
      <c r="G340" s="2" t="s">
        <v>17</v>
      </c>
      <c r="H340" s="2">
        <v>2</v>
      </c>
      <c r="I340" s="31">
        <v>366</v>
      </c>
      <c r="J340" s="3">
        <v>0.08</v>
      </c>
      <c r="K340" s="31">
        <v>673</v>
      </c>
      <c r="L340" s="2" t="s">
        <v>37</v>
      </c>
      <c r="M340" s="2" t="s">
        <v>30</v>
      </c>
      <c r="N340" s="35">
        <v>168</v>
      </c>
    </row>
    <row r="341" spans="1:14" x14ac:dyDescent="0.3">
      <c r="A341" s="4" t="s">
        <v>662</v>
      </c>
      <c r="B341" s="4" t="str">
        <f>TEXT(Table1[[#This Row],[Date]],"mmmm")</f>
        <v>February</v>
      </c>
      <c r="C341" s="14">
        <v>46067</v>
      </c>
      <c r="D341" s="2" t="s">
        <v>100</v>
      </c>
      <c r="E341" s="2" t="s">
        <v>15</v>
      </c>
      <c r="F341" s="2" t="s">
        <v>41</v>
      </c>
      <c r="G341" s="2" t="s">
        <v>17</v>
      </c>
      <c r="H341" s="2">
        <v>5</v>
      </c>
      <c r="I341" s="31">
        <v>667</v>
      </c>
      <c r="J341" s="3">
        <v>7.0000000000000007E-2</v>
      </c>
      <c r="K341" s="31">
        <v>3101</v>
      </c>
      <c r="L341" s="2" t="s">
        <v>18</v>
      </c>
      <c r="M341" s="2" t="s">
        <v>54</v>
      </c>
      <c r="N341" s="35">
        <v>496</v>
      </c>
    </row>
    <row r="342" spans="1:14" x14ac:dyDescent="0.3">
      <c r="A342" s="4" t="s">
        <v>663</v>
      </c>
      <c r="B342" s="4" t="str">
        <f>TEXT(Table1[[#This Row],[Date]],"mmmm")</f>
        <v>August</v>
      </c>
      <c r="C342" s="14">
        <v>46258</v>
      </c>
      <c r="D342" s="2" t="s">
        <v>369</v>
      </c>
      <c r="E342" s="2" t="s">
        <v>22</v>
      </c>
      <c r="F342" s="2" t="s">
        <v>23</v>
      </c>
      <c r="G342" s="2" t="s">
        <v>17</v>
      </c>
      <c r="H342" s="2">
        <v>1</v>
      </c>
      <c r="I342" s="31">
        <v>144</v>
      </c>
      <c r="J342" s="3">
        <v>0.18</v>
      </c>
      <c r="K342" s="31">
        <v>118</v>
      </c>
      <c r="L342" s="2" t="s">
        <v>18</v>
      </c>
      <c r="M342" s="2" t="s">
        <v>19</v>
      </c>
      <c r="N342" s="35">
        <v>14</v>
      </c>
    </row>
    <row r="343" spans="1:14" x14ac:dyDescent="0.3">
      <c r="A343" s="4" t="s">
        <v>664</v>
      </c>
      <c r="B343" s="4" t="str">
        <f>TEXT(Table1[[#This Row],[Date]],"mmmm")</f>
        <v>June</v>
      </c>
      <c r="C343" s="14">
        <v>46185</v>
      </c>
      <c r="D343" s="2" t="s">
        <v>665</v>
      </c>
      <c r="E343" s="2" t="s">
        <v>40</v>
      </c>
      <c r="F343" s="2" t="s">
        <v>33</v>
      </c>
      <c r="G343" s="2" t="s">
        <v>17</v>
      </c>
      <c r="H343" s="2">
        <v>1</v>
      </c>
      <c r="I343" s="31">
        <v>783</v>
      </c>
      <c r="J343" s="3">
        <v>0.03</v>
      </c>
      <c r="K343" s="31">
        <v>759</v>
      </c>
      <c r="L343" s="2" t="s">
        <v>24</v>
      </c>
      <c r="M343" s="2" t="s">
        <v>30</v>
      </c>
      <c r="N343" s="35">
        <v>144</v>
      </c>
    </row>
    <row r="344" spans="1:14" x14ac:dyDescent="0.3">
      <c r="A344" s="4" t="s">
        <v>666</v>
      </c>
      <c r="B344" s="4" t="str">
        <f>TEXT(Table1[[#This Row],[Date]],"mmmm")</f>
        <v>July</v>
      </c>
      <c r="C344" s="14">
        <v>46210</v>
      </c>
      <c r="D344" s="2" t="s">
        <v>300</v>
      </c>
      <c r="E344" s="2" t="s">
        <v>70</v>
      </c>
      <c r="F344" s="2" t="s">
        <v>41</v>
      </c>
      <c r="G344" s="2" t="s">
        <v>17</v>
      </c>
      <c r="H344" s="2">
        <v>2</v>
      </c>
      <c r="I344" s="31">
        <v>289</v>
      </c>
      <c r="J344" s="3">
        <v>0.09</v>
      </c>
      <c r="K344" s="31">
        <v>525</v>
      </c>
      <c r="L344" s="2" t="s">
        <v>37</v>
      </c>
      <c r="M344" s="2" t="s">
        <v>30</v>
      </c>
      <c r="N344" s="35">
        <v>94</v>
      </c>
    </row>
    <row r="345" spans="1:14" x14ac:dyDescent="0.3">
      <c r="A345" s="4" t="s">
        <v>667</v>
      </c>
      <c r="B345" s="4" t="str">
        <f>TEXT(Table1[[#This Row],[Date]],"mmmm")</f>
        <v>July</v>
      </c>
      <c r="C345" s="14">
        <v>46221</v>
      </c>
      <c r="D345" s="2" t="s">
        <v>668</v>
      </c>
      <c r="E345" s="2" t="s">
        <v>40</v>
      </c>
      <c r="F345" s="2" t="s">
        <v>23</v>
      </c>
      <c r="G345" s="2" t="s">
        <v>17</v>
      </c>
      <c r="H345" s="2">
        <v>4</v>
      </c>
      <c r="I345" s="31">
        <v>676</v>
      </c>
      <c r="J345" s="3">
        <v>0.11</v>
      </c>
      <c r="K345" s="31">
        <v>2406</v>
      </c>
      <c r="L345" s="2" t="s">
        <v>37</v>
      </c>
      <c r="M345" s="2" t="s">
        <v>54</v>
      </c>
      <c r="N345" s="35">
        <v>240</v>
      </c>
    </row>
    <row r="346" spans="1:14" x14ac:dyDescent="0.3">
      <c r="A346" s="4" t="s">
        <v>669</v>
      </c>
      <c r="B346" s="4" t="str">
        <f>TEXT(Table1[[#This Row],[Date]],"mmmm")</f>
        <v>October</v>
      </c>
      <c r="C346" s="14">
        <v>46298</v>
      </c>
      <c r="D346" s="2" t="s">
        <v>670</v>
      </c>
      <c r="E346" s="2" t="s">
        <v>27</v>
      </c>
      <c r="F346" s="2" t="s">
        <v>23</v>
      </c>
      <c r="G346" s="2" t="s">
        <v>17</v>
      </c>
      <c r="H346" s="2">
        <v>2</v>
      </c>
      <c r="I346" s="31">
        <v>317</v>
      </c>
      <c r="J346" s="3">
        <v>0.05</v>
      </c>
      <c r="K346" s="31">
        <v>602</v>
      </c>
      <c r="L346" s="2" t="s">
        <v>18</v>
      </c>
      <c r="M346" s="2" t="s">
        <v>19</v>
      </c>
      <c r="N346" s="35">
        <v>102</v>
      </c>
    </row>
    <row r="347" spans="1:14" x14ac:dyDescent="0.3">
      <c r="A347" s="4" t="s">
        <v>671</v>
      </c>
      <c r="B347" s="4" t="str">
        <f>TEXT(Table1[[#This Row],[Date]],"mmmm")</f>
        <v>April</v>
      </c>
      <c r="C347" s="14">
        <v>46134</v>
      </c>
      <c r="D347" s="2" t="s">
        <v>672</v>
      </c>
      <c r="E347" s="2" t="s">
        <v>22</v>
      </c>
      <c r="F347" s="2" t="s">
        <v>74</v>
      </c>
      <c r="G347" s="2" t="s">
        <v>17</v>
      </c>
      <c r="H347" s="2">
        <v>1</v>
      </c>
      <c r="I347" s="31">
        <v>640</v>
      </c>
      <c r="J347" s="3">
        <v>7.0000000000000007E-2</v>
      </c>
      <c r="K347" s="31">
        <v>595</v>
      </c>
      <c r="L347" s="2" t="s">
        <v>24</v>
      </c>
      <c r="M347" s="2" t="s">
        <v>54</v>
      </c>
      <c r="N347" s="35">
        <v>172</v>
      </c>
    </row>
    <row r="348" spans="1:14" x14ac:dyDescent="0.3">
      <c r="A348" s="4" t="s">
        <v>673</v>
      </c>
      <c r="B348" s="4" t="str">
        <f>TEXT(Table1[[#This Row],[Date]],"mmmm")</f>
        <v>January</v>
      </c>
      <c r="C348" s="14">
        <v>46027</v>
      </c>
      <c r="D348" s="2" t="s">
        <v>674</v>
      </c>
      <c r="E348" s="2" t="s">
        <v>40</v>
      </c>
      <c r="F348" s="2" t="s">
        <v>53</v>
      </c>
      <c r="G348" s="2" t="s">
        <v>17</v>
      </c>
      <c r="H348" s="2">
        <v>1</v>
      </c>
      <c r="I348" s="31">
        <v>133</v>
      </c>
      <c r="J348" s="3">
        <v>0</v>
      </c>
      <c r="K348" s="31">
        <v>133</v>
      </c>
      <c r="L348" s="2" t="s">
        <v>37</v>
      </c>
      <c r="M348" s="2" t="s">
        <v>30</v>
      </c>
      <c r="N348" s="35">
        <v>18</v>
      </c>
    </row>
    <row r="349" spans="1:14" x14ac:dyDescent="0.3">
      <c r="A349" s="4" t="s">
        <v>675</v>
      </c>
      <c r="B349" s="4" t="str">
        <f>TEXT(Table1[[#This Row],[Date]],"mmmm")</f>
        <v>February</v>
      </c>
      <c r="C349" s="14">
        <v>46063</v>
      </c>
      <c r="D349" s="2" t="s">
        <v>676</v>
      </c>
      <c r="E349" s="2" t="s">
        <v>27</v>
      </c>
      <c r="F349" s="2" t="s">
        <v>28</v>
      </c>
      <c r="G349" s="2" t="s">
        <v>17</v>
      </c>
      <c r="H349" s="2">
        <v>3</v>
      </c>
      <c r="I349" s="31">
        <v>94</v>
      </c>
      <c r="J349" s="3">
        <v>0.11</v>
      </c>
      <c r="K349" s="31">
        <v>250</v>
      </c>
      <c r="L349" s="2" t="s">
        <v>24</v>
      </c>
      <c r="M349" s="2" t="s">
        <v>30</v>
      </c>
      <c r="N349" s="35">
        <v>67</v>
      </c>
    </row>
    <row r="350" spans="1:14" x14ac:dyDescent="0.3">
      <c r="A350" s="4" t="s">
        <v>677</v>
      </c>
      <c r="B350" s="4" t="str">
        <f>TEXT(Table1[[#This Row],[Date]],"mmmm")</f>
        <v>February</v>
      </c>
      <c r="C350" s="14">
        <v>46081</v>
      </c>
      <c r="D350" s="2" t="s">
        <v>678</v>
      </c>
      <c r="E350" s="2" t="s">
        <v>70</v>
      </c>
      <c r="F350" s="2" t="s">
        <v>48</v>
      </c>
      <c r="G350" s="2" t="s">
        <v>17</v>
      </c>
      <c r="H350" s="2">
        <v>3</v>
      </c>
      <c r="I350" s="31">
        <v>757</v>
      </c>
      <c r="J350" s="3">
        <v>0.16</v>
      </c>
      <c r="K350" s="31">
        <v>1907</v>
      </c>
      <c r="L350" s="2" t="s">
        <v>37</v>
      </c>
      <c r="M350" s="2" t="s">
        <v>30</v>
      </c>
      <c r="N350" s="35">
        <v>343</v>
      </c>
    </row>
    <row r="351" spans="1:14" x14ac:dyDescent="0.3">
      <c r="A351" s="4" t="s">
        <v>679</v>
      </c>
      <c r="B351" s="4" t="str">
        <f>TEXT(Table1[[#This Row],[Date]],"mmmm")</f>
        <v>December</v>
      </c>
      <c r="C351" s="14">
        <v>46384</v>
      </c>
      <c r="D351" s="2" t="s">
        <v>680</v>
      </c>
      <c r="E351" s="2" t="s">
        <v>70</v>
      </c>
      <c r="F351" s="2" t="s">
        <v>71</v>
      </c>
      <c r="G351" s="2" t="s">
        <v>17</v>
      </c>
      <c r="H351" s="2">
        <v>4</v>
      </c>
      <c r="I351" s="31">
        <v>339</v>
      </c>
      <c r="J351" s="3">
        <v>0.01</v>
      </c>
      <c r="K351" s="31">
        <v>1342</v>
      </c>
      <c r="L351" s="2" t="s">
        <v>37</v>
      </c>
      <c r="M351" s="2" t="s">
        <v>19</v>
      </c>
      <c r="N351" s="35">
        <v>147</v>
      </c>
    </row>
    <row r="352" spans="1:14" x14ac:dyDescent="0.3">
      <c r="A352" s="4" t="s">
        <v>681</v>
      </c>
      <c r="B352" s="4" t="str">
        <f>TEXT(Table1[[#This Row],[Date]],"mmmm")</f>
        <v>September</v>
      </c>
      <c r="C352" s="14">
        <v>46267</v>
      </c>
      <c r="D352" s="2" t="s">
        <v>682</v>
      </c>
      <c r="E352" s="2" t="s">
        <v>15</v>
      </c>
      <c r="F352" s="2" t="s">
        <v>36</v>
      </c>
      <c r="G352" s="2" t="s">
        <v>17</v>
      </c>
      <c r="H352" s="2">
        <v>5</v>
      </c>
      <c r="I352" s="31">
        <v>563</v>
      </c>
      <c r="J352" s="3">
        <v>0.06</v>
      </c>
      <c r="K352" s="31">
        <v>2646</v>
      </c>
      <c r="L352" s="2" t="s">
        <v>29</v>
      </c>
      <c r="M352" s="2" t="s">
        <v>54</v>
      </c>
      <c r="N352" s="35">
        <v>317</v>
      </c>
    </row>
    <row r="353" spans="1:14" x14ac:dyDescent="0.3">
      <c r="A353" s="4" t="s">
        <v>683</v>
      </c>
      <c r="B353" s="4" t="str">
        <f>TEXT(Table1[[#This Row],[Date]],"mmmm")</f>
        <v>December</v>
      </c>
      <c r="C353" s="14">
        <v>46382</v>
      </c>
      <c r="D353" s="2" t="s">
        <v>378</v>
      </c>
      <c r="E353" s="2" t="s">
        <v>27</v>
      </c>
      <c r="F353" s="2" t="s">
        <v>36</v>
      </c>
      <c r="G353" s="2" t="s">
        <v>17</v>
      </c>
      <c r="H353" s="2">
        <v>5</v>
      </c>
      <c r="I353" s="31">
        <v>511</v>
      </c>
      <c r="J353" s="3">
        <v>0.19</v>
      </c>
      <c r="K353" s="31">
        <v>2069</v>
      </c>
      <c r="L353" s="2" t="s">
        <v>18</v>
      </c>
      <c r="M353" s="2" t="s">
        <v>30</v>
      </c>
      <c r="N353" s="35">
        <v>620</v>
      </c>
    </row>
    <row r="354" spans="1:14" x14ac:dyDescent="0.3">
      <c r="A354" s="4" t="s">
        <v>684</v>
      </c>
      <c r="B354" s="4" t="str">
        <f>TEXT(Table1[[#This Row],[Date]],"mmmm")</f>
        <v>April</v>
      </c>
      <c r="C354" s="14">
        <v>46134</v>
      </c>
      <c r="D354" s="2" t="s">
        <v>685</v>
      </c>
      <c r="E354" s="2" t="s">
        <v>40</v>
      </c>
      <c r="F354" s="2" t="s">
        <v>48</v>
      </c>
      <c r="G354" s="2" t="s">
        <v>17</v>
      </c>
      <c r="H354" s="2">
        <v>1</v>
      </c>
      <c r="I354" s="31">
        <v>748</v>
      </c>
      <c r="J354" s="3">
        <v>0.18</v>
      </c>
      <c r="K354" s="31">
        <v>613</v>
      </c>
      <c r="L354" s="2" t="s">
        <v>29</v>
      </c>
      <c r="M354" s="2" t="s">
        <v>54</v>
      </c>
      <c r="N354" s="35">
        <v>91</v>
      </c>
    </row>
    <row r="355" spans="1:14" x14ac:dyDescent="0.3">
      <c r="A355" s="4" t="s">
        <v>686</v>
      </c>
      <c r="B355" s="4" t="str">
        <f>TEXT(Table1[[#This Row],[Date]],"mmmm")</f>
        <v>March</v>
      </c>
      <c r="C355" s="14">
        <v>46108</v>
      </c>
      <c r="D355" s="2" t="s">
        <v>687</v>
      </c>
      <c r="E355" s="2" t="s">
        <v>40</v>
      </c>
      <c r="F355" s="2" t="s">
        <v>33</v>
      </c>
      <c r="G355" s="2" t="s">
        <v>17</v>
      </c>
      <c r="H355" s="2">
        <v>1</v>
      </c>
      <c r="I355" s="31">
        <v>704</v>
      </c>
      <c r="J355" s="3">
        <v>0.13</v>
      </c>
      <c r="K355" s="31">
        <v>612</v>
      </c>
      <c r="L355" s="2" t="s">
        <v>29</v>
      </c>
      <c r="M355" s="2" t="s">
        <v>54</v>
      </c>
      <c r="N355" s="35">
        <v>153</v>
      </c>
    </row>
    <row r="356" spans="1:14" x14ac:dyDescent="0.3">
      <c r="A356" s="4" t="s">
        <v>688</v>
      </c>
      <c r="B356" s="4" t="str">
        <f>TEXT(Table1[[#This Row],[Date]],"mmmm")</f>
        <v>June</v>
      </c>
      <c r="C356" s="14">
        <v>46193</v>
      </c>
      <c r="D356" s="2" t="s">
        <v>47</v>
      </c>
      <c r="E356" s="2" t="s">
        <v>15</v>
      </c>
      <c r="F356" s="2" t="s">
        <v>36</v>
      </c>
      <c r="G356" s="2" t="s">
        <v>17</v>
      </c>
      <c r="H356" s="2">
        <v>1</v>
      </c>
      <c r="I356" s="31">
        <v>391</v>
      </c>
      <c r="J356" s="3">
        <v>0.14000000000000001</v>
      </c>
      <c r="K356" s="31">
        <v>336</v>
      </c>
      <c r="L356" s="2" t="s">
        <v>37</v>
      </c>
      <c r="M356" s="2" t="s">
        <v>19</v>
      </c>
      <c r="N356" s="35">
        <v>110</v>
      </c>
    </row>
    <row r="357" spans="1:14" x14ac:dyDescent="0.3">
      <c r="A357" s="4" t="s">
        <v>689</v>
      </c>
      <c r="B357" s="4" t="str">
        <f>TEXT(Table1[[#This Row],[Date]],"mmmm")</f>
        <v>March</v>
      </c>
      <c r="C357" s="14">
        <v>46082</v>
      </c>
      <c r="D357" s="2" t="s">
        <v>690</v>
      </c>
      <c r="E357" s="2" t="s">
        <v>22</v>
      </c>
      <c r="F357" s="2" t="s">
        <v>67</v>
      </c>
      <c r="G357" s="2" t="s">
        <v>17</v>
      </c>
      <c r="H357" s="2">
        <v>2</v>
      </c>
      <c r="I357" s="31">
        <v>378</v>
      </c>
      <c r="J357" s="3">
        <v>0.18</v>
      </c>
      <c r="K357" s="31">
        <v>619</v>
      </c>
      <c r="L357" s="2" t="s">
        <v>24</v>
      </c>
      <c r="M357" s="2" t="s">
        <v>19</v>
      </c>
      <c r="N357" s="35">
        <v>92</v>
      </c>
    </row>
    <row r="358" spans="1:14" x14ac:dyDescent="0.3">
      <c r="A358" s="4" t="s">
        <v>691</v>
      </c>
      <c r="B358" s="4" t="str">
        <f>TEXT(Table1[[#This Row],[Date]],"mmmm")</f>
        <v>November</v>
      </c>
      <c r="C358" s="14">
        <v>46336</v>
      </c>
      <c r="D358" s="2" t="s">
        <v>531</v>
      </c>
      <c r="E358" s="2" t="s">
        <v>70</v>
      </c>
      <c r="F358" s="2" t="s">
        <v>16</v>
      </c>
      <c r="G358" s="2" t="s">
        <v>17</v>
      </c>
      <c r="H358" s="2">
        <v>3</v>
      </c>
      <c r="I358" s="31">
        <v>596</v>
      </c>
      <c r="J358" s="3">
        <v>0.04</v>
      </c>
      <c r="K358" s="31">
        <v>1716</v>
      </c>
      <c r="L358" s="2" t="s">
        <v>37</v>
      </c>
      <c r="M358" s="2" t="s">
        <v>19</v>
      </c>
      <c r="N358" s="35">
        <v>411</v>
      </c>
    </row>
    <row r="359" spans="1:14" x14ac:dyDescent="0.3">
      <c r="A359" s="4" t="s">
        <v>692</v>
      </c>
      <c r="B359" s="4" t="str">
        <f>TEXT(Table1[[#This Row],[Date]],"mmmm")</f>
        <v>June</v>
      </c>
      <c r="C359" s="14">
        <v>46184</v>
      </c>
      <c r="D359" s="2" t="s">
        <v>693</v>
      </c>
      <c r="E359" s="2" t="s">
        <v>40</v>
      </c>
      <c r="F359" s="2" t="s">
        <v>36</v>
      </c>
      <c r="G359" s="2" t="s">
        <v>17</v>
      </c>
      <c r="H359" s="2">
        <v>3</v>
      </c>
      <c r="I359" s="31">
        <v>732</v>
      </c>
      <c r="J359" s="3">
        <v>0.17</v>
      </c>
      <c r="K359" s="31">
        <v>1822</v>
      </c>
      <c r="L359" s="2" t="s">
        <v>18</v>
      </c>
      <c r="M359" s="2" t="s">
        <v>30</v>
      </c>
      <c r="N359" s="35">
        <v>637</v>
      </c>
    </row>
    <row r="360" spans="1:14" x14ac:dyDescent="0.3">
      <c r="A360" s="4" t="s">
        <v>694</v>
      </c>
      <c r="B360" s="4" t="str">
        <f>TEXT(Table1[[#This Row],[Date]],"mmmm")</f>
        <v>October</v>
      </c>
      <c r="C360" s="14">
        <v>46298</v>
      </c>
      <c r="D360" s="2" t="s">
        <v>695</v>
      </c>
      <c r="E360" s="2" t="s">
        <v>40</v>
      </c>
      <c r="F360" s="2" t="s">
        <v>16</v>
      </c>
      <c r="G360" s="2" t="s">
        <v>17</v>
      </c>
      <c r="H360" s="2">
        <v>2</v>
      </c>
      <c r="I360" s="31">
        <v>547</v>
      </c>
      <c r="J360" s="3">
        <v>0.08</v>
      </c>
      <c r="K360" s="31">
        <v>1006</v>
      </c>
      <c r="L360" s="2" t="s">
        <v>37</v>
      </c>
      <c r="M360" s="2" t="s">
        <v>30</v>
      </c>
      <c r="N360" s="35">
        <v>100</v>
      </c>
    </row>
    <row r="361" spans="1:14" x14ac:dyDescent="0.3">
      <c r="A361" s="4" t="s">
        <v>696</v>
      </c>
      <c r="B361" s="4" t="str">
        <f>TEXT(Table1[[#This Row],[Date]],"mmmm")</f>
        <v>December</v>
      </c>
      <c r="C361" s="14">
        <v>46380</v>
      </c>
      <c r="D361" s="2" t="s">
        <v>697</v>
      </c>
      <c r="E361" s="2" t="s">
        <v>15</v>
      </c>
      <c r="F361" s="2" t="s">
        <v>41</v>
      </c>
      <c r="G361" s="2" t="s">
        <v>17</v>
      </c>
      <c r="H361" s="2">
        <v>1</v>
      </c>
      <c r="I361" s="31">
        <v>224</v>
      </c>
      <c r="J361" s="3">
        <v>0.05</v>
      </c>
      <c r="K361" s="31">
        <v>212</v>
      </c>
      <c r="L361" s="2" t="s">
        <v>29</v>
      </c>
      <c r="M361" s="2" t="s">
        <v>54</v>
      </c>
      <c r="N361" s="35">
        <v>65</v>
      </c>
    </row>
    <row r="362" spans="1:14" x14ac:dyDescent="0.3">
      <c r="A362" s="4" t="s">
        <v>698</v>
      </c>
      <c r="B362" s="4" t="str">
        <f>TEXT(Table1[[#This Row],[Date]],"mmmm")</f>
        <v>October</v>
      </c>
      <c r="C362" s="14">
        <v>46300</v>
      </c>
      <c r="D362" s="2" t="s">
        <v>699</v>
      </c>
      <c r="E362" s="2" t="s">
        <v>70</v>
      </c>
      <c r="F362" s="2" t="s">
        <v>16</v>
      </c>
      <c r="G362" s="2" t="s">
        <v>17</v>
      </c>
      <c r="H362" s="2">
        <v>5</v>
      </c>
      <c r="I362" s="31">
        <v>710</v>
      </c>
      <c r="J362" s="3">
        <v>0.08</v>
      </c>
      <c r="K362" s="31">
        <v>3266</v>
      </c>
      <c r="L362" s="2" t="s">
        <v>24</v>
      </c>
      <c r="M362" s="2" t="s">
        <v>19</v>
      </c>
      <c r="N362" s="35">
        <v>489</v>
      </c>
    </row>
    <row r="363" spans="1:14" x14ac:dyDescent="0.3">
      <c r="A363" s="4" t="s">
        <v>700</v>
      </c>
      <c r="B363" s="4" t="str">
        <f>TEXT(Table1[[#This Row],[Date]],"mmmm")</f>
        <v>January</v>
      </c>
      <c r="C363" s="14">
        <v>46042</v>
      </c>
      <c r="D363" s="2" t="s">
        <v>701</v>
      </c>
      <c r="E363" s="2" t="s">
        <v>70</v>
      </c>
      <c r="F363" s="2" t="s">
        <v>71</v>
      </c>
      <c r="G363" s="2" t="s">
        <v>17</v>
      </c>
      <c r="H363" s="2">
        <v>2</v>
      </c>
      <c r="I363" s="31">
        <v>405</v>
      </c>
      <c r="J363" s="3">
        <v>0.01</v>
      </c>
      <c r="K363" s="31">
        <v>801</v>
      </c>
      <c r="L363" s="2" t="s">
        <v>18</v>
      </c>
      <c r="M363" s="2" t="s">
        <v>19</v>
      </c>
      <c r="N363" s="35">
        <v>112</v>
      </c>
    </row>
    <row r="364" spans="1:14" x14ac:dyDescent="0.3">
      <c r="A364" s="4" t="s">
        <v>702</v>
      </c>
      <c r="B364" s="4" t="str">
        <f>TEXT(Table1[[#This Row],[Date]],"mmmm")</f>
        <v>February</v>
      </c>
      <c r="C364" s="14">
        <v>46058</v>
      </c>
      <c r="D364" s="2" t="s">
        <v>703</v>
      </c>
      <c r="E364" s="2" t="s">
        <v>40</v>
      </c>
      <c r="F364" s="2" t="s">
        <v>23</v>
      </c>
      <c r="G364" s="2" t="s">
        <v>17</v>
      </c>
      <c r="H364" s="2">
        <v>1</v>
      </c>
      <c r="I364" s="31">
        <v>258</v>
      </c>
      <c r="J364" s="3">
        <v>0.04</v>
      </c>
      <c r="K364" s="31">
        <v>247</v>
      </c>
      <c r="L364" s="2" t="s">
        <v>24</v>
      </c>
      <c r="M364" s="2" t="s">
        <v>54</v>
      </c>
      <c r="N364" s="35">
        <v>81</v>
      </c>
    </row>
    <row r="365" spans="1:14" x14ac:dyDescent="0.3">
      <c r="A365" s="4" t="s">
        <v>704</v>
      </c>
      <c r="B365" s="4" t="str">
        <f>TEXT(Table1[[#This Row],[Date]],"mmmm")</f>
        <v>January</v>
      </c>
      <c r="C365" s="14">
        <v>46028</v>
      </c>
      <c r="D365" s="2" t="s">
        <v>705</v>
      </c>
      <c r="E365" s="2" t="s">
        <v>15</v>
      </c>
      <c r="F365" s="2" t="s">
        <v>41</v>
      </c>
      <c r="G365" s="2" t="s">
        <v>17</v>
      </c>
      <c r="H365" s="2">
        <v>2</v>
      </c>
      <c r="I365" s="31">
        <v>180</v>
      </c>
      <c r="J365" s="3">
        <v>0.04</v>
      </c>
      <c r="K365" s="31">
        <v>345</v>
      </c>
      <c r="L365" s="2" t="s">
        <v>18</v>
      </c>
      <c r="M365" s="2" t="s">
        <v>19</v>
      </c>
      <c r="N365" s="35">
        <v>79</v>
      </c>
    </row>
    <row r="366" spans="1:14" x14ac:dyDescent="0.3">
      <c r="A366" s="4" t="s">
        <v>706</v>
      </c>
      <c r="B366" s="4" t="str">
        <f>TEXT(Table1[[#This Row],[Date]],"mmmm")</f>
        <v>January</v>
      </c>
      <c r="C366" s="14">
        <v>46023</v>
      </c>
      <c r="D366" s="2" t="s">
        <v>701</v>
      </c>
      <c r="E366" s="2" t="s">
        <v>70</v>
      </c>
      <c r="F366" s="2" t="s">
        <v>16</v>
      </c>
      <c r="G366" s="2" t="s">
        <v>17</v>
      </c>
      <c r="H366" s="2">
        <v>4</v>
      </c>
      <c r="I366" s="31">
        <v>163</v>
      </c>
      <c r="J366" s="3">
        <v>0.14000000000000001</v>
      </c>
      <c r="K366" s="31">
        <v>560</v>
      </c>
      <c r="L366" s="2" t="s">
        <v>24</v>
      </c>
      <c r="M366" s="2" t="s">
        <v>30</v>
      </c>
      <c r="N366" s="35">
        <v>67</v>
      </c>
    </row>
    <row r="367" spans="1:14" x14ac:dyDescent="0.3">
      <c r="A367" s="4" t="s">
        <v>707</v>
      </c>
      <c r="B367" s="4" t="str">
        <f>TEXT(Table1[[#This Row],[Date]],"mmmm")</f>
        <v>March</v>
      </c>
      <c r="C367" s="14">
        <v>46083</v>
      </c>
      <c r="D367" s="2" t="s">
        <v>708</v>
      </c>
      <c r="E367" s="2" t="s">
        <v>40</v>
      </c>
      <c r="F367" s="2" t="s">
        <v>33</v>
      </c>
      <c r="G367" s="2" t="s">
        <v>17</v>
      </c>
      <c r="H367" s="2">
        <v>5</v>
      </c>
      <c r="I367" s="31">
        <v>466</v>
      </c>
      <c r="J367" s="3">
        <v>0.06</v>
      </c>
      <c r="K367" s="31">
        <v>2190</v>
      </c>
      <c r="L367" s="2" t="s">
        <v>24</v>
      </c>
      <c r="M367" s="2" t="s">
        <v>19</v>
      </c>
      <c r="N367" s="35">
        <v>766</v>
      </c>
    </row>
    <row r="368" spans="1:14" x14ac:dyDescent="0.3">
      <c r="A368" s="4" t="s">
        <v>709</v>
      </c>
      <c r="B368" s="4" t="str">
        <f>TEXT(Table1[[#This Row],[Date]],"mmmm")</f>
        <v>November</v>
      </c>
      <c r="C368" s="14">
        <v>46346</v>
      </c>
      <c r="D368" s="2" t="s">
        <v>710</v>
      </c>
      <c r="E368" s="2" t="s">
        <v>27</v>
      </c>
      <c r="F368" s="2" t="s">
        <v>16</v>
      </c>
      <c r="G368" s="2" t="s">
        <v>17</v>
      </c>
      <c r="H368" s="2">
        <v>3</v>
      </c>
      <c r="I368" s="31">
        <v>295</v>
      </c>
      <c r="J368" s="3">
        <v>0.03</v>
      </c>
      <c r="K368" s="31">
        <v>858</v>
      </c>
      <c r="L368" s="2" t="s">
        <v>24</v>
      </c>
      <c r="M368" s="2" t="s">
        <v>30</v>
      </c>
      <c r="N368" s="35">
        <v>163</v>
      </c>
    </row>
    <row r="369" spans="1:14" x14ac:dyDescent="0.3">
      <c r="A369" s="4" t="s">
        <v>711</v>
      </c>
      <c r="B369" s="4" t="str">
        <f>TEXT(Table1[[#This Row],[Date]],"mmmm")</f>
        <v>July</v>
      </c>
      <c r="C369" s="14">
        <v>46214</v>
      </c>
      <c r="D369" s="2" t="s">
        <v>270</v>
      </c>
      <c r="E369" s="2" t="s">
        <v>70</v>
      </c>
      <c r="F369" s="2" t="s">
        <v>28</v>
      </c>
      <c r="G369" s="2" t="s">
        <v>17</v>
      </c>
      <c r="H369" s="2">
        <v>4</v>
      </c>
      <c r="I369" s="31">
        <v>656</v>
      </c>
      <c r="J369" s="3">
        <v>0.06</v>
      </c>
      <c r="K369" s="31">
        <v>2466</v>
      </c>
      <c r="L369" s="2" t="s">
        <v>18</v>
      </c>
      <c r="M369" s="2" t="s">
        <v>19</v>
      </c>
      <c r="N369" s="35">
        <v>468</v>
      </c>
    </row>
    <row r="370" spans="1:14" x14ac:dyDescent="0.3">
      <c r="A370" s="4" t="s">
        <v>712</v>
      </c>
      <c r="B370" s="4" t="str">
        <f>TEXT(Table1[[#This Row],[Date]],"mmmm")</f>
        <v>September</v>
      </c>
      <c r="C370" s="14">
        <v>46277</v>
      </c>
      <c r="D370" s="2" t="s">
        <v>184</v>
      </c>
      <c r="E370" s="2" t="s">
        <v>22</v>
      </c>
      <c r="F370" s="2" t="s">
        <v>74</v>
      </c>
      <c r="G370" s="2" t="s">
        <v>17</v>
      </c>
      <c r="H370" s="2">
        <v>5</v>
      </c>
      <c r="I370" s="31">
        <v>293</v>
      </c>
      <c r="J370" s="3">
        <v>0.01</v>
      </c>
      <c r="K370" s="31">
        <v>1450</v>
      </c>
      <c r="L370" s="2" t="s">
        <v>29</v>
      </c>
      <c r="M370" s="2" t="s">
        <v>19</v>
      </c>
      <c r="N370" s="35">
        <v>406</v>
      </c>
    </row>
    <row r="371" spans="1:14" x14ac:dyDescent="0.3">
      <c r="A371" s="4" t="s">
        <v>713</v>
      </c>
      <c r="B371" s="4" t="str">
        <f>TEXT(Table1[[#This Row],[Date]],"mmmm")</f>
        <v>July</v>
      </c>
      <c r="C371" s="14">
        <v>46216</v>
      </c>
      <c r="D371" s="2" t="s">
        <v>541</v>
      </c>
      <c r="E371" s="2" t="s">
        <v>15</v>
      </c>
      <c r="F371" s="2" t="s">
        <v>71</v>
      </c>
      <c r="G371" s="2" t="s">
        <v>17</v>
      </c>
      <c r="H371" s="2">
        <v>4</v>
      </c>
      <c r="I371" s="31">
        <v>642</v>
      </c>
      <c r="J371" s="3">
        <v>0.12</v>
      </c>
      <c r="K371" s="31">
        <v>2259</v>
      </c>
      <c r="L371" s="2" t="s">
        <v>24</v>
      </c>
      <c r="M371" s="2" t="s">
        <v>54</v>
      </c>
      <c r="N371" s="35">
        <v>542</v>
      </c>
    </row>
    <row r="372" spans="1:14" x14ac:dyDescent="0.3">
      <c r="A372" s="4" t="s">
        <v>714</v>
      </c>
      <c r="B372" s="4" t="str">
        <f>TEXT(Table1[[#This Row],[Date]],"mmmm")</f>
        <v>July</v>
      </c>
      <c r="C372" s="14">
        <v>46218</v>
      </c>
      <c r="D372" s="2" t="s">
        <v>715</v>
      </c>
      <c r="E372" s="2" t="s">
        <v>70</v>
      </c>
      <c r="F372" s="2" t="s">
        <v>53</v>
      </c>
      <c r="G372" s="2" t="s">
        <v>17</v>
      </c>
      <c r="H372" s="2">
        <v>1</v>
      </c>
      <c r="I372" s="31">
        <v>282</v>
      </c>
      <c r="J372" s="3">
        <v>0.18</v>
      </c>
      <c r="K372" s="31">
        <v>231</v>
      </c>
      <c r="L372" s="2" t="s">
        <v>37</v>
      </c>
      <c r="M372" s="2" t="s">
        <v>30</v>
      </c>
      <c r="N372" s="35">
        <v>53</v>
      </c>
    </row>
    <row r="373" spans="1:14" x14ac:dyDescent="0.3">
      <c r="A373" s="4" t="s">
        <v>716</v>
      </c>
      <c r="B373" s="4" t="str">
        <f>TEXT(Table1[[#This Row],[Date]],"mmmm")</f>
        <v>January</v>
      </c>
      <c r="C373" s="14">
        <v>46049</v>
      </c>
      <c r="D373" s="2" t="s">
        <v>717</v>
      </c>
      <c r="E373" s="2" t="s">
        <v>15</v>
      </c>
      <c r="F373" s="2" t="s">
        <v>41</v>
      </c>
      <c r="G373" s="2" t="s">
        <v>17</v>
      </c>
      <c r="H373" s="2">
        <v>5</v>
      </c>
      <c r="I373" s="31">
        <v>625</v>
      </c>
      <c r="J373" s="3">
        <v>0.05</v>
      </c>
      <c r="K373" s="31">
        <v>2968</v>
      </c>
      <c r="L373" s="2" t="s">
        <v>37</v>
      </c>
      <c r="M373" s="2" t="s">
        <v>19</v>
      </c>
      <c r="N373" s="35">
        <v>385</v>
      </c>
    </row>
    <row r="374" spans="1:14" x14ac:dyDescent="0.3">
      <c r="A374" s="4" t="s">
        <v>718</v>
      </c>
      <c r="B374" s="4" t="str">
        <f>TEXT(Table1[[#This Row],[Date]],"mmmm")</f>
        <v>September</v>
      </c>
      <c r="C374" s="14">
        <v>46288</v>
      </c>
      <c r="D374" s="2" t="s">
        <v>128</v>
      </c>
      <c r="E374" s="2" t="s">
        <v>27</v>
      </c>
      <c r="F374" s="2" t="s">
        <v>33</v>
      </c>
      <c r="G374" s="2" t="s">
        <v>17</v>
      </c>
      <c r="H374" s="2">
        <v>4</v>
      </c>
      <c r="I374" s="31">
        <v>774</v>
      </c>
      <c r="J374" s="3">
        <v>0</v>
      </c>
      <c r="K374" s="31">
        <v>3096</v>
      </c>
      <c r="L374" s="2" t="s">
        <v>24</v>
      </c>
      <c r="M374" s="2" t="s">
        <v>19</v>
      </c>
      <c r="N374" s="35">
        <v>928</v>
      </c>
    </row>
    <row r="375" spans="1:14" x14ac:dyDescent="0.3">
      <c r="A375" s="4" t="s">
        <v>719</v>
      </c>
      <c r="B375" s="4" t="str">
        <f>TEXT(Table1[[#This Row],[Date]],"mmmm")</f>
        <v>January</v>
      </c>
      <c r="C375" s="14">
        <v>46030</v>
      </c>
      <c r="D375" s="2" t="s">
        <v>96</v>
      </c>
      <c r="E375" s="2" t="s">
        <v>70</v>
      </c>
      <c r="F375" s="2" t="s">
        <v>16</v>
      </c>
      <c r="G375" s="2" t="s">
        <v>17</v>
      </c>
      <c r="H375" s="2">
        <v>2</v>
      </c>
      <c r="I375" s="31">
        <v>577</v>
      </c>
      <c r="J375" s="3">
        <v>0.03</v>
      </c>
      <c r="K375" s="31">
        <v>1119</v>
      </c>
      <c r="L375" s="2" t="s">
        <v>29</v>
      </c>
      <c r="M375" s="2" t="s">
        <v>54</v>
      </c>
      <c r="N375" s="35">
        <v>313</v>
      </c>
    </row>
    <row r="376" spans="1:14" x14ac:dyDescent="0.3">
      <c r="A376" s="4" t="s">
        <v>720</v>
      </c>
      <c r="B376" s="4" t="str">
        <f>TEXT(Table1[[#This Row],[Date]],"mmmm")</f>
        <v>May</v>
      </c>
      <c r="C376" s="14">
        <v>46158</v>
      </c>
      <c r="D376" s="2" t="s">
        <v>547</v>
      </c>
      <c r="E376" s="2" t="s">
        <v>22</v>
      </c>
      <c r="F376" s="2" t="s">
        <v>23</v>
      </c>
      <c r="G376" s="2" t="s">
        <v>17</v>
      </c>
      <c r="H376" s="2">
        <v>2</v>
      </c>
      <c r="I376" s="31">
        <v>405</v>
      </c>
      <c r="J376" s="3">
        <v>0.19</v>
      </c>
      <c r="K376" s="31">
        <v>656</v>
      </c>
      <c r="L376" s="2" t="s">
        <v>18</v>
      </c>
      <c r="M376" s="2" t="s">
        <v>54</v>
      </c>
      <c r="N376" s="35">
        <v>170</v>
      </c>
    </row>
    <row r="377" spans="1:14" x14ac:dyDescent="0.3">
      <c r="A377" s="4" t="s">
        <v>721</v>
      </c>
      <c r="B377" s="4" t="str">
        <f>TEXT(Table1[[#This Row],[Date]],"mmmm")</f>
        <v>May</v>
      </c>
      <c r="C377" s="14">
        <v>46143</v>
      </c>
      <c r="D377" s="2" t="s">
        <v>722</v>
      </c>
      <c r="E377" s="2" t="s">
        <v>40</v>
      </c>
      <c r="F377" s="2" t="s">
        <v>67</v>
      </c>
      <c r="G377" s="2" t="s">
        <v>17</v>
      </c>
      <c r="H377" s="2">
        <v>3</v>
      </c>
      <c r="I377" s="31">
        <v>618</v>
      </c>
      <c r="J377" s="3">
        <v>0.14000000000000001</v>
      </c>
      <c r="K377" s="31">
        <v>1594</v>
      </c>
      <c r="L377" s="2" t="s">
        <v>18</v>
      </c>
      <c r="M377" s="2" t="s">
        <v>30</v>
      </c>
      <c r="N377" s="35">
        <v>334</v>
      </c>
    </row>
    <row r="378" spans="1:14" x14ac:dyDescent="0.3">
      <c r="A378" s="4" t="s">
        <v>723</v>
      </c>
      <c r="B378" s="4" t="str">
        <f>TEXT(Table1[[#This Row],[Date]],"mmmm")</f>
        <v>March</v>
      </c>
      <c r="C378" s="14">
        <v>46097</v>
      </c>
      <c r="D378" s="2" t="s">
        <v>724</v>
      </c>
      <c r="E378" s="2" t="s">
        <v>70</v>
      </c>
      <c r="F378" s="2" t="s">
        <v>71</v>
      </c>
      <c r="G378" s="2" t="s">
        <v>17</v>
      </c>
      <c r="H378" s="2">
        <v>1</v>
      </c>
      <c r="I378" s="31">
        <v>620</v>
      </c>
      <c r="J378" s="3">
        <v>0.2</v>
      </c>
      <c r="K378" s="31">
        <v>496</v>
      </c>
      <c r="L378" s="2" t="s">
        <v>18</v>
      </c>
      <c r="M378" s="2" t="s">
        <v>19</v>
      </c>
      <c r="N378" s="35">
        <v>79</v>
      </c>
    </row>
    <row r="379" spans="1:14" x14ac:dyDescent="0.3">
      <c r="A379" s="4" t="s">
        <v>725</v>
      </c>
      <c r="B379" s="4" t="str">
        <f>TEXT(Table1[[#This Row],[Date]],"mmmm")</f>
        <v>August</v>
      </c>
      <c r="C379" s="14">
        <v>46240</v>
      </c>
      <c r="D379" s="2" t="s">
        <v>497</v>
      </c>
      <c r="E379" s="2" t="s">
        <v>22</v>
      </c>
      <c r="F379" s="2" t="s">
        <v>67</v>
      </c>
      <c r="G379" s="2" t="s">
        <v>17</v>
      </c>
      <c r="H379" s="2">
        <v>4</v>
      </c>
      <c r="I379" s="31">
        <v>520</v>
      </c>
      <c r="J379" s="3">
        <v>0.02</v>
      </c>
      <c r="K379" s="31">
        <v>2038</v>
      </c>
      <c r="L379" s="2" t="s">
        <v>37</v>
      </c>
      <c r="M379" s="2" t="s">
        <v>19</v>
      </c>
      <c r="N379" s="35">
        <v>509</v>
      </c>
    </row>
    <row r="380" spans="1:14" x14ac:dyDescent="0.3">
      <c r="A380" s="4" t="s">
        <v>726</v>
      </c>
      <c r="B380" s="4" t="str">
        <f>TEXT(Table1[[#This Row],[Date]],"mmmm")</f>
        <v>January</v>
      </c>
      <c r="C380" s="14">
        <v>46028</v>
      </c>
      <c r="D380" s="2" t="s">
        <v>727</v>
      </c>
      <c r="E380" s="2" t="s">
        <v>40</v>
      </c>
      <c r="F380" s="2" t="s">
        <v>48</v>
      </c>
      <c r="G380" s="2" t="s">
        <v>17</v>
      </c>
      <c r="H380" s="2">
        <v>3</v>
      </c>
      <c r="I380" s="31">
        <v>751</v>
      </c>
      <c r="J380" s="3">
        <v>0.06</v>
      </c>
      <c r="K380" s="31">
        <v>2117</v>
      </c>
      <c r="L380" s="2" t="s">
        <v>18</v>
      </c>
      <c r="M380" s="2" t="s">
        <v>30</v>
      </c>
      <c r="N380" s="35">
        <v>423</v>
      </c>
    </row>
    <row r="381" spans="1:14" x14ac:dyDescent="0.3">
      <c r="A381" s="4" t="s">
        <v>728</v>
      </c>
      <c r="B381" s="4" t="str">
        <f>TEXT(Table1[[#This Row],[Date]],"mmmm")</f>
        <v>November</v>
      </c>
      <c r="C381" s="14">
        <v>46354</v>
      </c>
      <c r="D381" s="2" t="s">
        <v>200</v>
      </c>
      <c r="E381" s="2" t="s">
        <v>40</v>
      </c>
      <c r="F381" s="2" t="s">
        <v>33</v>
      </c>
      <c r="G381" s="2" t="s">
        <v>17</v>
      </c>
      <c r="H381" s="2">
        <v>4</v>
      </c>
      <c r="I381" s="31">
        <v>630</v>
      </c>
      <c r="J381" s="3">
        <v>0.03</v>
      </c>
      <c r="K381" s="31">
        <v>2444</v>
      </c>
      <c r="L381" s="2" t="s">
        <v>37</v>
      </c>
      <c r="M381" s="2" t="s">
        <v>19</v>
      </c>
      <c r="N381" s="35">
        <v>317</v>
      </c>
    </row>
    <row r="382" spans="1:14" x14ac:dyDescent="0.3">
      <c r="A382" s="4" t="s">
        <v>729</v>
      </c>
      <c r="B382" s="4" t="str">
        <f>TEXT(Table1[[#This Row],[Date]],"mmmm")</f>
        <v>August</v>
      </c>
      <c r="C382" s="14">
        <v>46256</v>
      </c>
      <c r="D382" s="2" t="s">
        <v>730</v>
      </c>
      <c r="E382" s="2" t="s">
        <v>40</v>
      </c>
      <c r="F382" s="2" t="s">
        <v>36</v>
      </c>
      <c r="G382" s="2" t="s">
        <v>17</v>
      </c>
      <c r="H382" s="2">
        <v>2</v>
      </c>
      <c r="I382" s="31">
        <v>375</v>
      </c>
      <c r="J382" s="3">
        <v>0.09</v>
      </c>
      <c r="K382" s="31">
        <v>682</v>
      </c>
      <c r="L382" s="2" t="s">
        <v>29</v>
      </c>
      <c r="M382" s="2" t="s">
        <v>30</v>
      </c>
      <c r="N382" s="35">
        <v>129</v>
      </c>
    </row>
    <row r="383" spans="1:14" x14ac:dyDescent="0.3">
      <c r="A383" s="4" t="s">
        <v>731</v>
      </c>
      <c r="B383" s="4" t="str">
        <f>TEXT(Table1[[#This Row],[Date]],"mmmm")</f>
        <v>May</v>
      </c>
      <c r="C383" s="14">
        <v>46148</v>
      </c>
      <c r="D383" s="2" t="s">
        <v>732</v>
      </c>
      <c r="E383" s="2" t="s">
        <v>15</v>
      </c>
      <c r="F383" s="2" t="s">
        <v>74</v>
      </c>
      <c r="G383" s="2" t="s">
        <v>17</v>
      </c>
      <c r="H383" s="2">
        <v>5</v>
      </c>
      <c r="I383" s="31">
        <v>611</v>
      </c>
      <c r="J383" s="3">
        <v>0.11</v>
      </c>
      <c r="K383" s="31">
        <v>2718</v>
      </c>
      <c r="L383" s="2" t="s">
        <v>24</v>
      </c>
      <c r="M383" s="2" t="s">
        <v>19</v>
      </c>
      <c r="N383" s="35">
        <v>570</v>
      </c>
    </row>
    <row r="384" spans="1:14" x14ac:dyDescent="0.3">
      <c r="A384" s="4" t="s">
        <v>733</v>
      </c>
      <c r="B384" s="4" t="str">
        <f>TEXT(Table1[[#This Row],[Date]],"mmmm")</f>
        <v>January</v>
      </c>
      <c r="C384" s="14">
        <v>46045</v>
      </c>
      <c r="D384" s="2" t="s">
        <v>734</v>
      </c>
      <c r="E384" s="2" t="s">
        <v>27</v>
      </c>
      <c r="F384" s="2" t="s">
        <v>74</v>
      </c>
      <c r="G384" s="2" t="s">
        <v>17</v>
      </c>
      <c r="H384" s="2">
        <v>4</v>
      </c>
      <c r="I384" s="31">
        <v>160</v>
      </c>
      <c r="J384" s="3">
        <v>0.18</v>
      </c>
      <c r="K384" s="31">
        <v>524</v>
      </c>
      <c r="L384" s="2" t="s">
        <v>37</v>
      </c>
      <c r="M384" s="2" t="s">
        <v>19</v>
      </c>
      <c r="N384" s="35">
        <v>125</v>
      </c>
    </row>
    <row r="385" spans="1:14" x14ac:dyDescent="0.3">
      <c r="A385" s="4" t="s">
        <v>735</v>
      </c>
      <c r="B385" s="4" t="str">
        <f>TEXT(Table1[[#This Row],[Date]],"mmmm")</f>
        <v>July</v>
      </c>
      <c r="C385" s="14">
        <v>46228</v>
      </c>
      <c r="D385" s="2" t="s">
        <v>736</v>
      </c>
      <c r="E385" s="2" t="s">
        <v>15</v>
      </c>
      <c r="F385" s="2" t="s">
        <v>53</v>
      </c>
      <c r="G385" s="2" t="s">
        <v>17</v>
      </c>
      <c r="H385" s="2">
        <v>3</v>
      </c>
      <c r="I385" s="31">
        <v>125</v>
      </c>
      <c r="J385" s="3">
        <v>0.09</v>
      </c>
      <c r="K385" s="31">
        <v>341</v>
      </c>
      <c r="L385" s="2" t="s">
        <v>29</v>
      </c>
      <c r="M385" s="2" t="s">
        <v>54</v>
      </c>
      <c r="N385" s="35">
        <v>71</v>
      </c>
    </row>
    <row r="386" spans="1:14" x14ac:dyDescent="0.3">
      <c r="A386" s="4" t="s">
        <v>737</v>
      </c>
      <c r="B386" s="4" t="str">
        <f>TEXT(Table1[[#This Row],[Date]],"mmmm")</f>
        <v>June</v>
      </c>
      <c r="C386" s="14">
        <v>46181</v>
      </c>
      <c r="D386" s="2" t="s">
        <v>43</v>
      </c>
      <c r="E386" s="2" t="s">
        <v>40</v>
      </c>
      <c r="F386" s="2" t="s">
        <v>67</v>
      </c>
      <c r="G386" s="2" t="s">
        <v>17</v>
      </c>
      <c r="H386" s="2">
        <v>3</v>
      </c>
      <c r="I386" s="31">
        <v>691</v>
      </c>
      <c r="J386" s="3">
        <v>0.19</v>
      </c>
      <c r="K386" s="31">
        <v>1679</v>
      </c>
      <c r="L386" s="2" t="s">
        <v>18</v>
      </c>
      <c r="M386" s="2" t="s">
        <v>19</v>
      </c>
      <c r="N386" s="35">
        <v>319</v>
      </c>
    </row>
    <row r="387" spans="1:14" x14ac:dyDescent="0.3">
      <c r="A387" s="4" t="s">
        <v>738</v>
      </c>
      <c r="B387" s="4" t="str">
        <f>TEXT(Table1[[#This Row],[Date]],"mmmm")</f>
        <v>June</v>
      </c>
      <c r="C387" s="14">
        <v>46186</v>
      </c>
      <c r="D387" s="2" t="s">
        <v>739</v>
      </c>
      <c r="E387" s="2" t="s">
        <v>70</v>
      </c>
      <c r="F387" s="2" t="s">
        <v>16</v>
      </c>
      <c r="G387" s="2" t="s">
        <v>17</v>
      </c>
      <c r="H387" s="2">
        <v>1</v>
      </c>
      <c r="I387" s="31">
        <v>458</v>
      </c>
      <c r="J387" s="3">
        <v>0.13</v>
      </c>
      <c r="K387" s="31">
        <v>398</v>
      </c>
      <c r="L387" s="2" t="s">
        <v>37</v>
      </c>
      <c r="M387" s="2" t="s">
        <v>30</v>
      </c>
      <c r="N387" s="35">
        <v>115</v>
      </c>
    </row>
    <row r="388" spans="1:14" x14ac:dyDescent="0.3">
      <c r="A388" s="4" t="s">
        <v>740</v>
      </c>
      <c r="B388" s="4" t="str">
        <f>TEXT(Table1[[#This Row],[Date]],"mmmm")</f>
        <v>May</v>
      </c>
      <c r="C388" s="14">
        <v>46163</v>
      </c>
      <c r="D388" s="2" t="s">
        <v>741</v>
      </c>
      <c r="E388" s="2" t="s">
        <v>40</v>
      </c>
      <c r="F388" s="2" t="s">
        <v>16</v>
      </c>
      <c r="G388" s="2" t="s">
        <v>17</v>
      </c>
      <c r="H388" s="2">
        <v>5</v>
      </c>
      <c r="I388" s="31">
        <v>292</v>
      </c>
      <c r="J388" s="3">
        <v>0.15</v>
      </c>
      <c r="K388" s="31">
        <v>1241</v>
      </c>
      <c r="L388" s="2" t="s">
        <v>37</v>
      </c>
      <c r="M388" s="2" t="s">
        <v>19</v>
      </c>
      <c r="N388" s="35">
        <v>285</v>
      </c>
    </row>
    <row r="389" spans="1:14" x14ac:dyDescent="0.3">
      <c r="A389" s="4" t="s">
        <v>742</v>
      </c>
      <c r="B389" s="4" t="str">
        <f>TEXT(Table1[[#This Row],[Date]],"mmmm")</f>
        <v>September</v>
      </c>
      <c r="C389" s="14">
        <v>46285</v>
      </c>
      <c r="D389" s="2" t="s">
        <v>743</v>
      </c>
      <c r="E389" s="2" t="s">
        <v>15</v>
      </c>
      <c r="F389" s="2" t="s">
        <v>36</v>
      </c>
      <c r="G389" s="2" t="s">
        <v>17</v>
      </c>
      <c r="H389" s="2">
        <v>4</v>
      </c>
      <c r="I389" s="31">
        <v>482</v>
      </c>
      <c r="J389" s="3">
        <v>7.0000000000000007E-2</v>
      </c>
      <c r="K389" s="31">
        <v>1793</v>
      </c>
      <c r="L389" s="2" t="s">
        <v>37</v>
      </c>
      <c r="M389" s="2" t="s">
        <v>19</v>
      </c>
      <c r="N389" s="35">
        <v>286</v>
      </c>
    </row>
    <row r="390" spans="1:14" x14ac:dyDescent="0.3">
      <c r="A390" s="4" t="s">
        <v>744</v>
      </c>
      <c r="B390" s="4" t="str">
        <f>TEXT(Table1[[#This Row],[Date]],"mmmm")</f>
        <v>December</v>
      </c>
      <c r="C390" s="14">
        <v>46381</v>
      </c>
      <c r="D390" s="2" t="s">
        <v>407</v>
      </c>
      <c r="E390" s="2" t="s">
        <v>70</v>
      </c>
      <c r="F390" s="2" t="s">
        <v>16</v>
      </c>
      <c r="G390" s="2" t="s">
        <v>17</v>
      </c>
      <c r="H390" s="2">
        <v>2</v>
      </c>
      <c r="I390" s="31">
        <v>355</v>
      </c>
      <c r="J390" s="3">
        <v>0.08</v>
      </c>
      <c r="K390" s="31">
        <v>653</v>
      </c>
      <c r="L390" s="2" t="s">
        <v>24</v>
      </c>
      <c r="M390" s="2" t="s">
        <v>54</v>
      </c>
      <c r="N390" s="35">
        <v>71</v>
      </c>
    </row>
    <row r="391" spans="1:14" x14ac:dyDescent="0.3">
      <c r="A391" s="4" t="s">
        <v>745</v>
      </c>
      <c r="B391" s="4" t="str">
        <f>TEXT(Table1[[#This Row],[Date]],"mmmm")</f>
        <v>April</v>
      </c>
      <c r="C391" s="14">
        <v>46128</v>
      </c>
      <c r="D391" s="2" t="s">
        <v>746</v>
      </c>
      <c r="E391" s="2" t="s">
        <v>70</v>
      </c>
      <c r="F391" s="2" t="s">
        <v>16</v>
      </c>
      <c r="G391" s="2" t="s">
        <v>17</v>
      </c>
      <c r="H391" s="2">
        <v>4</v>
      </c>
      <c r="I391" s="31">
        <v>232</v>
      </c>
      <c r="J391" s="3">
        <v>0.02</v>
      </c>
      <c r="K391" s="31">
        <v>909</v>
      </c>
      <c r="L391" s="2" t="s">
        <v>24</v>
      </c>
      <c r="M391" s="2" t="s">
        <v>19</v>
      </c>
      <c r="N391" s="35">
        <v>109</v>
      </c>
    </row>
    <row r="392" spans="1:14" x14ac:dyDescent="0.3">
      <c r="A392" s="4" t="s">
        <v>747</v>
      </c>
      <c r="B392" s="4" t="str">
        <f>TEXT(Table1[[#This Row],[Date]],"mmmm")</f>
        <v>September</v>
      </c>
      <c r="C392" s="14">
        <v>46274</v>
      </c>
      <c r="D392" s="2" t="s">
        <v>748</v>
      </c>
      <c r="E392" s="2" t="s">
        <v>27</v>
      </c>
      <c r="F392" s="2" t="s">
        <v>28</v>
      </c>
      <c r="G392" s="2" t="s">
        <v>17</v>
      </c>
      <c r="H392" s="2">
        <v>1</v>
      </c>
      <c r="I392" s="31">
        <v>630</v>
      </c>
      <c r="J392" s="3">
        <v>0.1</v>
      </c>
      <c r="K392" s="31">
        <v>567</v>
      </c>
      <c r="L392" s="2" t="s">
        <v>24</v>
      </c>
      <c r="M392" s="2" t="s">
        <v>19</v>
      </c>
      <c r="N392" s="35">
        <v>113</v>
      </c>
    </row>
    <row r="393" spans="1:14" x14ac:dyDescent="0.3">
      <c r="A393" s="4" t="s">
        <v>749</v>
      </c>
      <c r="B393" s="4" t="str">
        <f>TEXT(Table1[[#This Row],[Date]],"mmmm")</f>
        <v>November</v>
      </c>
      <c r="C393" s="14">
        <v>46349</v>
      </c>
      <c r="D393" s="2" t="s">
        <v>750</v>
      </c>
      <c r="E393" s="2" t="s">
        <v>22</v>
      </c>
      <c r="F393" s="2" t="s">
        <v>53</v>
      </c>
      <c r="G393" s="2" t="s">
        <v>17</v>
      </c>
      <c r="H393" s="2">
        <v>3</v>
      </c>
      <c r="I393" s="31">
        <v>142</v>
      </c>
      <c r="J393" s="3">
        <v>0.18</v>
      </c>
      <c r="K393" s="31">
        <v>349</v>
      </c>
      <c r="L393" s="2" t="s">
        <v>37</v>
      </c>
      <c r="M393" s="2" t="s">
        <v>30</v>
      </c>
      <c r="N393" s="35">
        <v>66</v>
      </c>
    </row>
    <row r="394" spans="1:14" x14ac:dyDescent="0.3">
      <c r="A394" s="4" t="s">
        <v>751</v>
      </c>
      <c r="B394" s="4" t="str">
        <f>TEXT(Table1[[#This Row],[Date]],"mmmm")</f>
        <v>January</v>
      </c>
      <c r="C394" s="14">
        <v>46026</v>
      </c>
      <c r="D394" s="2" t="s">
        <v>752</v>
      </c>
      <c r="E394" s="2" t="s">
        <v>27</v>
      </c>
      <c r="F394" s="2" t="s">
        <v>41</v>
      </c>
      <c r="G394" s="2" t="s">
        <v>17</v>
      </c>
      <c r="H394" s="2">
        <v>5</v>
      </c>
      <c r="I394" s="31">
        <v>348</v>
      </c>
      <c r="J394" s="3">
        <v>0.18</v>
      </c>
      <c r="K394" s="31">
        <v>1426</v>
      </c>
      <c r="L394" s="2" t="s">
        <v>29</v>
      </c>
      <c r="M394" s="2" t="s">
        <v>30</v>
      </c>
      <c r="N394" s="35">
        <v>385</v>
      </c>
    </row>
    <row r="395" spans="1:14" x14ac:dyDescent="0.3">
      <c r="A395" s="4" t="s">
        <v>753</v>
      </c>
      <c r="B395" s="4" t="str">
        <f>TEXT(Table1[[#This Row],[Date]],"mmmm")</f>
        <v>August</v>
      </c>
      <c r="C395" s="14">
        <v>46251</v>
      </c>
      <c r="D395" s="2" t="s">
        <v>754</v>
      </c>
      <c r="E395" s="2" t="s">
        <v>22</v>
      </c>
      <c r="F395" s="2" t="s">
        <v>41</v>
      </c>
      <c r="G395" s="2" t="s">
        <v>17</v>
      </c>
      <c r="H395" s="2">
        <v>2</v>
      </c>
      <c r="I395" s="31">
        <v>677</v>
      </c>
      <c r="J395" s="3">
        <v>7.0000000000000007E-2</v>
      </c>
      <c r="K395" s="31">
        <v>1259</v>
      </c>
      <c r="L395" s="2" t="s">
        <v>18</v>
      </c>
      <c r="M395" s="2" t="s">
        <v>30</v>
      </c>
      <c r="N395" s="35">
        <v>415</v>
      </c>
    </row>
    <row r="396" spans="1:14" x14ac:dyDescent="0.3">
      <c r="A396" s="4" t="s">
        <v>755</v>
      </c>
      <c r="B396" s="4" t="str">
        <f>TEXT(Table1[[#This Row],[Date]],"mmmm")</f>
        <v>November</v>
      </c>
      <c r="C396" s="14">
        <v>46340</v>
      </c>
      <c r="D396" s="2" t="s">
        <v>756</v>
      </c>
      <c r="E396" s="2" t="s">
        <v>70</v>
      </c>
      <c r="F396" s="2" t="s">
        <v>67</v>
      </c>
      <c r="G396" s="2" t="s">
        <v>17</v>
      </c>
      <c r="H396" s="2">
        <v>1</v>
      </c>
      <c r="I396" s="31">
        <v>92</v>
      </c>
      <c r="J396" s="3">
        <v>0.04</v>
      </c>
      <c r="K396" s="31">
        <v>88</v>
      </c>
      <c r="L396" s="2" t="s">
        <v>37</v>
      </c>
      <c r="M396" s="2" t="s">
        <v>54</v>
      </c>
      <c r="N396" s="35">
        <v>14</v>
      </c>
    </row>
    <row r="397" spans="1:14" x14ac:dyDescent="0.3">
      <c r="A397" s="4" t="s">
        <v>757</v>
      </c>
      <c r="B397" s="4" t="str">
        <f>TEXT(Table1[[#This Row],[Date]],"mmmm")</f>
        <v>July</v>
      </c>
      <c r="C397" s="14">
        <v>46218</v>
      </c>
      <c r="D397" s="2" t="s">
        <v>219</v>
      </c>
      <c r="E397" s="2" t="s">
        <v>40</v>
      </c>
      <c r="F397" s="2" t="s">
        <v>16</v>
      </c>
      <c r="G397" s="2" t="s">
        <v>17</v>
      </c>
      <c r="H397" s="2">
        <v>1</v>
      </c>
      <c r="I397" s="31">
        <v>206</v>
      </c>
      <c r="J397" s="3">
        <v>0.03</v>
      </c>
      <c r="K397" s="31">
        <v>199</v>
      </c>
      <c r="L397" s="2" t="s">
        <v>18</v>
      </c>
      <c r="M397" s="2" t="s">
        <v>30</v>
      </c>
      <c r="N397" s="35">
        <v>23</v>
      </c>
    </row>
    <row r="398" spans="1:14" x14ac:dyDescent="0.3">
      <c r="A398" s="4" t="s">
        <v>758</v>
      </c>
      <c r="B398" s="4" t="str">
        <f>TEXT(Table1[[#This Row],[Date]],"mmmm")</f>
        <v>April</v>
      </c>
      <c r="C398" s="14">
        <v>46118</v>
      </c>
      <c r="D398" s="2" t="s">
        <v>759</v>
      </c>
      <c r="E398" s="2" t="s">
        <v>40</v>
      </c>
      <c r="F398" s="2" t="s">
        <v>48</v>
      </c>
      <c r="G398" s="2" t="s">
        <v>17</v>
      </c>
      <c r="H398" s="2">
        <v>2</v>
      </c>
      <c r="I398" s="31">
        <v>509</v>
      </c>
      <c r="J398" s="3">
        <v>0.04</v>
      </c>
      <c r="K398" s="31">
        <v>977</v>
      </c>
      <c r="L398" s="2" t="s">
        <v>18</v>
      </c>
      <c r="M398" s="2" t="s">
        <v>30</v>
      </c>
      <c r="N398" s="35">
        <v>312</v>
      </c>
    </row>
    <row r="399" spans="1:14" x14ac:dyDescent="0.3">
      <c r="A399" s="4" t="s">
        <v>760</v>
      </c>
      <c r="B399" s="4" t="str">
        <f>TEXT(Table1[[#This Row],[Date]],"mmmm")</f>
        <v>July</v>
      </c>
      <c r="C399" s="14">
        <v>46220</v>
      </c>
      <c r="D399" s="2" t="s">
        <v>531</v>
      </c>
      <c r="E399" s="2" t="s">
        <v>27</v>
      </c>
      <c r="F399" s="2" t="s">
        <v>23</v>
      </c>
      <c r="G399" s="2" t="s">
        <v>17</v>
      </c>
      <c r="H399" s="2">
        <v>5</v>
      </c>
      <c r="I399" s="31">
        <v>528</v>
      </c>
      <c r="J399" s="3">
        <v>0</v>
      </c>
      <c r="K399" s="31">
        <v>2640</v>
      </c>
      <c r="L399" s="2" t="s">
        <v>29</v>
      </c>
      <c r="M399" s="2" t="s">
        <v>54</v>
      </c>
      <c r="N399" s="35">
        <v>660</v>
      </c>
    </row>
    <row r="400" spans="1:14" x14ac:dyDescent="0.3">
      <c r="A400" s="4" t="s">
        <v>761</v>
      </c>
      <c r="B400" s="4" t="str">
        <f>TEXT(Table1[[#This Row],[Date]],"mmmm")</f>
        <v>January</v>
      </c>
      <c r="C400" s="14">
        <v>46039</v>
      </c>
      <c r="D400" s="2" t="s">
        <v>762</v>
      </c>
      <c r="E400" s="2" t="s">
        <v>15</v>
      </c>
      <c r="F400" s="2" t="s">
        <v>36</v>
      </c>
      <c r="G400" s="2" t="s">
        <v>17</v>
      </c>
      <c r="H400" s="2">
        <v>5</v>
      </c>
      <c r="I400" s="31">
        <v>362</v>
      </c>
      <c r="J400" s="3">
        <v>0.18</v>
      </c>
      <c r="K400" s="31">
        <v>1484</v>
      </c>
      <c r="L400" s="2" t="s">
        <v>18</v>
      </c>
      <c r="M400" s="2" t="s">
        <v>19</v>
      </c>
      <c r="N400" s="35">
        <v>163</v>
      </c>
    </row>
    <row r="401" spans="1:14" x14ac:dyDescent="0.3">
      <c r="A401" s="4" t="s">
        <v>763</v>
      </c>
      <c r="B401" s="4" t="str">
        <f>TEXT(Table1[[#This Row],[Date]],"mmmm")</f>
        <v>October</v>
      </c>
      <c r="C401" s="14">
        <v>46306</v>
      </c>
      <c r="D401" s="2" t="s">
        <v>238</v>
      </c>
      <c r="E401" s="2" t="s">
        <v>40</v>
      </c>
      <c r="F401" s="2" t="s">
        <v>71</v>
      </c>
      <c r="G401" s="2" t="s">
        <v>17</v>
      </c>
      <c r="H401" s="2">
        <v>3</v>
      </c>
      <c r="I401" s="31">
        <v>212</v>
      </c>
      <c r="J401" s="3">
        <v>0.02</v>
      </c>
      <c r="K401" s="31">
        <v>623</v>
      </c>
      <c r="L401" s="2" t="s">
        <v>24</v>
      </c>
      <c r="M401" s="2" t="s">
        <v>54</v>
      </c>
      <c r="N401" s="35">
        <v>218</v>
      </c>
    </row>
    <row r="402" spans="1:14" x14ac:dyDescent="0.3">
      <c r="A402" s="4" t="s">
        <v>764</v>
      </c>
      <c r="B402" s="4" t="str">
        <f>TEXT(Table1[[#This Row],[Date]],"mmmm")</f>
        <v>September</v>
      </c>
      <c r="C402" s="14">
        <v>46289</v>
      </c>
      <c r="D402" s="2" t="s">
        <v>765</v>
      </c>
      <c r="E402" s="2" t="s">
        <v>15</v>
      </c>
      <c r="F402" s="2" t="s">
        <v>53</v>
      </c>
      <c r="G402" s="2" t="s">
        <v>17</v>
      </c>
      <c r="H402" s="2">
        <v>1</v>
      </c>
      <c r="I402" s="31">
        <v>348</v>
      </c>
      <c r="J402" s="3">
        <v>0.14000000000000001</v>
      </c>
      <c r="K402" s="31">
        <v>299</v>
      </c>
      <c r="L402" s="2" t="s">
        <v>29</v>
      </c>
      <c r="M402" s="2" t="s">
        <v>30</v>
      </c>
      <c r="N402" s="35">
        <v>56</v>
      </c>
    </row>
    <row r="403" spans="1:14" x14ac:dyDescent="0.3">
      <c r="A403" s="4" t="s">
        <v>766</v>
      </c>
      <c r="B403" s="4" t="str">
        <f>TEXT(Table1[[#This Row],[Date]],"mmmm")</f>
        <v>May</v>
      </c>
      <c r="C403" s="14">
        <v>46149</v>
      </c>
      <c r="D403" s="2" t="s">
        <v>767</v>
      </c>
      <c r="E403" s="2" t="s">
        <v>70</v>
      </c>
      <c r="F403" s="2" t="s">
        <v>71</v>
      </c>
      <c r="G403" s="2" t="s">
        <v>17</v>
      </c>
      <c r="H403" s="2">
        <v>5</v>
      </c>
      <c r="I403" s="31">
        <v>361</v>
      </c>
      <c r="J403" s="3">
        <v>0.09</v>
      </c>
      <c r="K403" s="31">
        <v>1642</v>
      </c>
      <c r="L403" s="2" t="s">
        <v>18</v>
      </c>
      <c r="M403" s="2" t="s">
        <v>54</v>
      </c>
      <c r="N403" s="35">
        <v>361</v>
      </c>
    </row>
    <row r="404" spans="1:14" x14ac:dyDescent="0.3">
      <c r="A404" s="4" t="s">
        <v>768</v>
      </c>
      <c r="B404" s="4" t="str">
        <f>TEXT(Table1[[#This Row],[Date]],"mmmm")</f>
        <v>July</v>
      </c>
      <c r="C404" s="14">
        <v>46214</v>
      </c>
      <c r="D404" s="2" t="s">
        <v>769</v>
      </c>
      <c r="E404" s="2" t="s">
        <v>70</v>
      </c>
      <c r="F404" s="2" t="s">
        <v>36</v>
      </c>
      <c r="G404" s="2" t="s">
        <v>17</v>
      </c>
      <c r="H404" s="2">
        <v>3</v>
      </c>
      <c r="I404" s="31">
        <v>641</v>
      </c>
      <c r="J404" s="3">
        <v>0.1</v>
      </c>
      <c r="K404" s="31">
        <v>1730</v>
      </c>
      <c r="L404" s="2" t="s">
        <v>37</v>
      </c>
      <c r="M404" s="2" t="s">
        <v>19</v>
      </c>
      <c r="N404" s="35">
        <v>328</v>
      </c>
    </row>
    <row r="405" spans="1:14" x14ac:dyDescent="0.3">
      <c r="A405" s="4" t="s">
        <v>770</v>
      </c>
      <c r="B405" s="4" t="str">
        <f>TEXT(Table1[[#This Row],[Date]],"mmmm")</f>
        <v>May</v>
      </c>
      <c r="C405" s="14">
        <v>46167</v>
      </c>
      <c r="D405" s="2" t="s">
        <v>771</v>
      </c>
      <c r="E405" s="2" t="s">
        <v>27</v>
      </c>
      <c r="F405" s="2" t="s">
        <v>71</v>
      </c>
      <c r="G405" s="2" t="s">
        <v>17</v>
      </c>
      <c r="H405" s="2">
        <v>3</v>
      </c>
      <c r="I405" s="31">
        <v>591</v>
      </c>
      <c r="J405" s="3">
        <v>0.02</v>
      </c>
      <c r="K405" s="31">
        <v>1737</v>
      </c>
      <c r="L405" s="2" t="s">
        <v>29</v>
      </c>
      <c r="M405" s="2" t="s">
        <v>54</v>
      </c>
      <c r="N405" s="35">
        <v>555</v>
      </c>
    </row>
    <row r="406" spans="1:14" x14ac:dyDescent="0.3">
      <c r="A406" s="4" t="s">
        <v>772</v>
      </c>
      <c r="B406" s="4" t="str">
        <f>TEXT(Table1[[#This Row],[Date]],"mmmm")</f>
        <v>March</v>
      </c>
      <c r="C406" s="14">
        <v>46082</v>
      </c>
      <c r="D406" s="2" t="s">
        <v>773</v>
      </c>
      <c r="E406" s="2" t="s">
        <v>22</v>
      </c>
      <c r="F406" s="2" t="s">
        <v>41</v>
      </c>
      <c r="G406" s="2" t="s">
        <v>17</v>
      </c>
      <c r="H406" s="2">
        <v>1</v>
      </c>
      <c r="I406" s="31">
        <v>745</v>
      </c>
      <c r="J406" s="3">
        <v>7.0000000000000007E-2</v>
      </c>
      <c r="K406" s="31">
        <v>692</v>
      </c>
      <c r="L406" s="2" t="s">
        <v>29</v>
      </c>
      <c r="M406" s="2" t="s">
        <v>19</v>
      </c>
      <c r="N406" s="35">
        <v>242</v>
      </c>
    </row>
    <row r="407" spans="1:14" x14ac:dyDescent="0.3">
      <c r="A407" s="4" t="s">
        <v>774</v>
      </c>
      <c r="B407" s="4" t="str">
        <f>TEXT(Table1[[#This Row],[Date]],"mmmm")</f>
        <v>December</v>
      </c>
      <c r="C407" s="14">
        <v>46379</v>
      </c>
      <c r="D407" s="2" t="s">
        <v>775</v>
      </c>
      <c r="E407" s="2" t="s">
        <v>22</v>
      </c>
      <c r="F407" s="2" t="s">
        <v>74</v>
      </c>
      <c r="G407" s="2" t="s">
        <v>17</v>
      </c>
      <c r="H407" s="2">
        <v>4</v>
      </c>
      <c r="I407" s="31">
        <v>781</v>
      </c>
      <c r="J407" s="3">
        <v>0.15</v>
      </c>
      <c r="K407" s="31">
        <v>2655</v>
      </c>
      <c r="L407" s="2" t="s">
        <v>29</v>
      </c>
      <c r="M407" s="2" t="s">
        <v>54</v>
      </c>
      <c r="N407" s="35">
        <v>584</v>
      </c>
    </row>
    <row r="408" spans="1:14" x14ac:dyDescent="0.3">
      <c r="A408" s="4" t="s">
        <v>776</v>
      </c>
      <c r="B408" s="4" t="str">
        <f>TEXT(Table1[[#This Row],[Date]],"mmmm")</f>
        <v>March</v>
      </c>
      <c r="C408" s="14">
        <v>46103</v>
      </c>
      <c r="D408" s="2" t="s">
        <v>314</v>
      </c>
      <c r="E408" s="2" t="s">
        <v>40</v>
      </c>
      <c r="F408" s="2" t="s">
        <v>41</v>
      </c>
      <c r="G408" s="2" t="s">
        <v>17</v>
      </c>
      <c r="H408" s="2">
        <v>4</v>
      </c>
      <c r="I408" s="31">
        <v>139</v>
      </c>
      <c r="J408" s="3">
        <v>0.16</v>
      </c>
      <c r="K408" s="31">
        <v>467</v>
      </c>
      <c r="L408" s="2" t="s">
        <v>24</v>
      </c>
      <c r="M408" s="2" t="s">
        <v>19</v>
      </c>
      <c r="N408" s="35">
        <v>149</v>
      </c>
    </row>
    <row r="409" spans="1:14" x14ac:dyDescent="0.3">
      <c r="A409" s="4" t="s">
        <v>777</v>
      </c>
      <c r="B409" s="4" t="str">
        <f>TEXT(Table1[[#This Row],[Date]],"mmmm")</f>
        <v>September</v>
      </c>
      <c r="C409" s="14">
        <v>46291</v>
      </c>
      <c r="D409" s="2" t="s">
        <v>778</v>
      </c>
      <c r="E409" s="2" t="s">
        <v>27</v>
      </c>
      <c r="F409" s="2" t="s">
        <v>74</v>
      </c>
      <c r="G409" s="2" t="s">
        <v>17</v>
      </c>
      <c r="H409" s="2">
        <v>3</v>
      </c>
      <c r="I409" s="31">
        <v>129</v>
      </c>
      <c r="J409" s="3">
        <v>0.12</v>
      </c>
      <c r="K409" s="31">
        <v>340</v>
      </c>
      <c r="L409" s="2" t="s">
        <v>18</v>
      </c>
      <c r="M409" s="2" t="s">
        <v>54</v>
      </c>
      <c r="N409" s="35">
        <v>44</v>
      </c>
    </row>
    <row r="410" spans="1:14" x14ac:dyDescent="0.3">
      <c r="A410" s="4" t="s">
        <v>779</v>
      </c>
      <c r="B410" s="4" t="str">
        <f>TEXT(Table1[[#This Row],[Date]],"mmmm")</f>
        <v>August</v>
      </c>
      <c r="C410" s="14">
        <v>46261</v>
      </c>
      <c r="D410" s="2" t="s">
        <v>233</v>
      </c>
      <c r="E410" s="2" t="s">
        <v>70</v>
      </c>
      <c r="F410" s="2" t="s">
        <v>41</v>
      </c>
      <c r="G410" s="2" t="s">
        <v>17</v>
      </c>
      <c r="H410" s="2">
        <v>2</v>
      </c>
      <c r="I410" s="31">
        <v>549</v>
      </c>
      <c r="J410" s="3">
        <v>0.01</v>
      </c>
      <c r="K410" s="31">
        <v>1087</v>
      </c>
      <c r="L410" s="2" t="s">
        <v>29</v>
      </c>
      <c r="M410" s="2" t="s">
        <v>19</v>
      </c>
      <c r="N410" s="35">
        <v>369</v>
      </c>
    </row>
    <row r="411" spans="1:14" x14ac:dyDescent="0.3">
      <c r="A411" s="4" t="s">
        <v>780</v>
      </c>
      <c r="B411" s="4" t="str">
        <f>TEXT(Table1[[#This Row],[Date]],"mmmm")</f>
        <v>November</v>
      </c>
      <c r="C411" s="14">
        <v>46344</v>
      </c>
      <c r="D411" s="2" t="s">
        <v>781</v>
      </c>
      <c r="E411" s="2" t="s">
        <v>70</v>
      </c>
      <c r="F411" s="2" t="s">
        <v>53</v>
      </c>
      <c r="G411" s="2" t="s">
        <v>17</v>
      </c>
      <c r="H411" s="2">
        <v>3</v>
      </c>
      <c r="I411" s="31">
        <v>367</v>
      </c>
      <c r="J411" s="3">
        <v>0.13</v>
      </c>
      <c r="K411" s="31">
        <v>957</v>
      </c>
      <c r="L411" s="2" t="s">
        <v>29</v>
      </c>
      <c r="M411" s="2" t="s">
        <v>54</v>
      </c>
      <c r="N411" s="35">
        <v>181</v>
      </c>
    </row>
    <row r="412" spans="1:14" x14ac:dyDescent="0.3">
      <c r="A412" s="4" t="s">
        <v>782</v>
      </c>
      <c r="B412" s="4" t="str">
        <f>TEXT(Table1[[#This Row],[Date]],"mmmm")</f>
        <v>September</v>
      </c>
      <c r="C412" s="14">
        <v>46268</v>
      </c>
      <c r="D412" s="2" t="s">
        <v>783</v>
      </c>
      <c r="E412" s="2" t="s">
        <v>15</v>
      </c>
      <c r="F412" s="2" t="s">
        <v>67</v>
      </c>
      <c r="G412" s="2" t="s">
        <v>17</v>
      </c>
      <c r="H412" s="2">
        <v>1</v>
      </c>
      <c r="I412" s="31">
        <v>220</v>
      </c>
      <c r="J412" s="3">
        <v>0.03</v>
      </c>
      <c r="K412" s="31">
        <v>213</v>
      </c>
      <c r="L412" s="2" t="s">
        <v>37</v>
      </c>
      <c r="M412" s="2" t="s">
        <v>54</v>
      </c>
      <c r="N412" s="35">
        <v>27</v>
      </c>
    </row>
    <row r="413" spans="1:14" x14ac:dyDescent="0.3">
      <c r="A413" s="4" t="s">
        <v>784</v>
      </c>
      <c r="B413" s="4" t="str">
        <f>TEXT(Table1[[#This Row],[Date]],"mmmm")</f>
        <v>April</v>
      </c>
      <c r="C413" s="14">
        <v>46122</v>
      </c>
      <c r="D413" s="2" t="s">
        <v>529</v>
      </c>
      <c r="E413" s="2" t="s">
        <v>70</v>
      </c>
      <c r="F413" s="2" t="s">
        <v>36</v>
      </c>
      <c r="G413" s="2" t="s">
        <v>17</v>
      </c>
      <c r="H413" s="2">
        <v>3</v>
      </c>
      <c r="I413" s="31">
        <v>636</v>
      </c>
      <c r="J413" s="3">
        <v>0.2</v>
      </c>
      <c r="K413" s="31">
        <v>1526</v>
      </c>
      <c r="L413" s="2" t="s">
        <v>29</v>
      </c>
      <c r="M413" s="2" t="s">
        <v>30</v>
      </c>
      <c r="N413" s="35">
        <v>396</v>
      </c>
    </row>
    <row r="414" spans="1:14" x14ac:dyDescent="0.3">
      <c r="A414" s="4" t="s">
        <v>785</v>
      </c>
      <c r="B414" s="4" t="str">
        <f>TEXT(Table1[[#This Row],[Date]],"mmmm")</f>
        <v>January</v>
      </c>
      <c r="C414" s="14">
        <v>46031</v>
      </c>
      <c r="D414" s="2" t="s">
        <v>786</v>
      </c>
      <c r="E414" s="2" t="s">
        <v>22</v>
      </c>
      <c r="F414" s="2" t="s">
        <v>28</v>
      </c>
      <c r="G414" s="2" t="s">
        <v>17</v>
      </c>
      <c r="H414" s="2">
        <v>3</v>
      </c>
      <c r="I414" s="31">
        <v>344</v>
      </c>
      <c r="J414" s="3">
        <v>0.06</v>
      </c>
      <c r="K414" s="31">
        <v>970</v>
      </c>
      <c r="L414" s="2" t="s">
        <v>18</v>
      </c>
      <c r="M414" s="2" t="s">
        <v>19</v>
      </c>
      <c r="N414" s="35">
        <v>223</v>
      </c>
    </row>
    <row r="415" spans="1:14" x14ac:dyDescent="0.3">
      <c r="A415" s="4" t="s">
        <v>787</v>
      </c>
      <c r="B415" s="4" t="str">
        <f>TEXT(Table1[[#This Row],[Date]],"mmmm")</f>
        <v>March</v>
      </c>
      <c r="C415" s="14">
        <v>46091</v>
      </c>
      <c r="D415" s="2" t="s">
        <v>788</v>
      </c>
      <c r="E415" s="2" t="s">
        <v>22</v>
      </c>
      <c r="F415" s="2" t="s">
        <v>48</v>
      </c>
      <c r="G415" s="2" t="s">
        <v>17</v>
      </c>
      <c r="H415" s="2">
        <v>3</v>
      </c>
      <c r="I415" s="31">
        <v>718</v>
      </c>
      <c r="J415" s="3">
        <v>0.01</v>
      </c>
      <c r="K415" s="31">
        <v>2132</v>
      </c>
      <c r="L415" s="2" t="s">
        <v>29</v>
      </c>
      <c r="M415" s="2" t="s">
        <v>30</v>
      </c>
      <c r="N415" s="35">
        <v>746</v>
      </c>
    </row>
    <row r="416" spans="1:14" x14ac:dyDescent="0.3">
      <c r="A416" s="4" t="s">
        <v>789</v>
      </c>
      <c r="B416" s="4" t="str">
        <f>TEXT(Table1[[#This Row],[Date]],"mmmm")</f>
        <v>June</v>
      </c>
      <c r="C416" s="14">
        <v>46190</v>
      </c>
      <c r="D416" s="2" t="s">
        <v>790</v>
      </c>
      <c r="E416" s="2" t="s">
        <v>22</v>
      </c>
      <c r="F416" s="2" t="s">
        <v>36</v>
      </c>
      <c r="G416" s="2" t="s">
        <v>17</v>
      </c>
      <c r="H416" s="2">
        <v>2</v>
      </c>
      <c r="I416" s="31">
        <v>315</v>
      </c>
      <c r="J416" s="3">
        <v>0.02</v>
      </c>
      <c r="K416" s="31">
        <v>617</v>
      </c>
      <c r="L416" s="2" t="s">
        <v>18</v>
      </c>
      <c r="M416" s="2" t="s">
        <v>30</v>
      </c>
      <c r="N416" s="35">
        <v>154</v>
      </c>
    </row>
    <row r="417" spans="1:14" x14ac:dyDescent="0.3">
      <c r="A417" s="4" t="s">
        <v>791</v>
      </c>
      <c r="B417" s="4" t="str">
        <f>TEXT(Table1[[#This Row],[Date]],"mmmm")</f>
        <v>June</v>
      </c>
      <c r="C417" s="14">
        <v>46177</v>
      </c>
      <c r="D417" s="2" t="s">
        <v>506</v>
      </c>
      <c r="E417" s="2" t="s">
        <v>15</v>
      </c>
      <c r="F417" s="2" t="s">
        <v>33</v>
      </c>
      <c r="G417" s="2" t="s">
        <v>17</v>
      </c>
      <c r="H417" s="2">
        <v>4</v>
      </c>
      <c r="I417" s="31">
        <v>349</v>
      </c>
      <c r="J417" s="3">
        <v>0.16</v>
      </c>
      <c r="K417" s="31">
        <v>1172</v>
      </c>
      <c r="L417" s="2" t="s">
        <v>29</v>
      </c>
      <c r="M417" s="2" t="s">
        <v>30</v>
      </c>
      <c r="N417" s="35">
        <v>222</v>
      </c>
    </row>
    <row r="418" spans="1:14" x14ac:dyDescent="0.3">
      <c r="A418" s="4" t="s">
        <v>792</v>
      </c>
      <c r="B418" s="4" t="str">
        <f>TEXT(Table1[[#This Row],[Date]],"mmmm")</f>
        <v>July</v>
      </c>
      <c r="C418" s="14">
        <v>46213</v>
      </c>
      <c r="D418" s="2" t="s">
        <v>727</v>
      </c>
      <c r="E418" s="2" t="s">
        <v>22</v>
      </c>
      <c r="F418" s="2" t="s">
        <v>48</v>
      </c>
      <c r="G418" s="2" t="s">
        <v>17</v>
      </c>
      <c r="H418" s="2">
        <v>2</v>
      </c>
      <c r="I418" s="31">
        <v>363</v>
      </c>
      <c r="J418" s="3">
        <v>0.15</v>
      </c>
      <c r="K418" s="31">
        <v>617</v>
      </c>
      <c r="L418" s="2" t="s">
        <v>29</v>
      </c>
      <c r="M418" s="2" t="s">
        <v>30</v>
      </c>
      <c r="N418" s="35">
        <v>191</v>
      </c>
    </row>
    <row r="419" spans="1:14" x14ac:dyDescent="0.3">
      <c r="A419" s="4" t="s">
        <v>793</v>
      </c>
      <c r="B419" s="4" t="str">
        <f>TEXT(Table1[[#This Row],[Date]],"mmmm")</f>
        <v>November</v>
      </c>
      <c r="C419" s="14">
        <v>46328</v>
      </c>
      <c r="D419" s="2" t="s">
        <v>794</v>
      </c>
      <c r="E419" s="2" t="s">
        <v>40</v>
      </c>
      <c r="F419" s="2" t="s">
        <v>67</v>
      </c>
      <c r="G419" s="2" t="s">
        <v>17</v>
      </c>
      <c r="H419" s="2">
        <v>5</v>
      </c>
      <c r="I419" s="31">
        <v>320</v>
      </c>
      <c r="J419" s="3">
        <v>0.15</v>
      </c>
      <c r="K419" s="31">
        <v>1360</v>
      </c>
      <c r="L419" s="2" t="s">
        <v>29</v>
      </c>
      <c r="M419" s="2" t="s">
        <v>19</v>
      </c>
      <c r="N419" s="35">
        <v>190</v>
      </c>
    </row>
    <row r="420" spans="1:14" x14ac:dyDescent="0.3">
      <c r="A420" s="4" t="s">
        <v>795</v>
      </c>
      <c r="B420" s="4" t="str">
        <f>TEXT(Table1[[#This Row],[Date]],"mmmm")</f>
        <v>June</v>
      </c>
      <c r="C420" s="14">
        <v>46178</v>
      </c>
      <c r="D420" s="2" t="s">
        <v>206</v>
      </c>
      <c r="E420" s="2" t="s">
        <v>22</v>
      </c>
      <c r="F420" s="2" t="s">
        <v>28</v>
      </c>
      <c r="G420" s="2" t="s">
        <v>17</v>
      </c>
      <c r="H420" s="2">
        <v>4</v>
      </c>
      <c r="I420" s="31">
        <v>776</v>
      </c>
      <c r="J420" s="3">
        <v>0.2</v>
      </c>
      <c r="K420" s="31">
        <v>2483</v>
      </c>
      <c r="L420" s="2" t="s">
        <v>18</v>
      </c>
      <c r="M420" s="2" t="s">
        <v>54</v>
      </c>
      <c r="N420" s="35">
        <v>397</v>
      </c>
    </row>
    <row r="421" spans="1:14" x14ac:dyDescent="0.3">
      <c r="A421" s="4" t="s">
        <v>796</v>
      </c>
      <c r="B421" s="4" t="str">
        <f>TEXT(Table1[[#This Row],[Date]],"mmmm")</f>
        <v>May</v>
      </c>
      <c r="C421" s="14">
        <v>46144</v>
      </c>
      <c r="D421" s="2" t="s">
        <v>472</v>
      </c>
      <c r="E421" s="2" t="s">
        <v>22</v>
      </c>
      <c r="F421" s="2" t="s">
        <v>48</v>
      </c>
      <c r="G421" s="2" t="s">
        <v>17</v>
      </c>
      <c r="H421" s="2">
        <v>1</v>
      </c>
      <c r="I421" s="31">
        <v>584</v>
      </c>
      <c r="J421" s="3">
        <v>0.03</v>
      </c>
      <c r="K421" s="31">
        <v>566</v>
      </c>
      <c r="L421" s="2" t="s">
        <v>18</v>
      </c>
      <c r="M421" s="2" t="s">
        <v>19</v>
      </c>
      <c r="N421" s="35">
        <v>198</v>
      </c>
    </row>
    <row r="422" spans="1:14" x14ac:dyDescent="0.3">
      <c r="A422" s="4" t="s">
        <v>797</v>
      </c>
      <c r="B422" s="4" t="str">
        <f>TEXT(Table1[[#This Row],[Date]],"mmmm")</f>
        <v>March</v>
      </c>
      <c r="C422" s="14">
        <v>46084</v>
      </c>
      <c r="D422" s="2" t="s">
        <v>148</v>
      </c>
      <c r="E422" s="2" t="s">
        <v>22</v>
      </c>
      <c r="F422" s="2" t="s">
        <v>74</v>
      </c>
      <c r="G422" s="2" t="s">
        <v>17</v>
      </c>
      <c r="H422" s="2">
        <v>4</v>
      </c>
      <c r="I422" s="31">
        <v>229</v>
      </c>
      <c r="J422" s="3">
        <v>0.04</v>
      </c>
      <c r="K422" s="31">
        <v>879</v>
      </c>
      <c r="L422" s="2" t="s">
        <v>37</v>
      </c>
      <c r="M422" s="2" t="s">
        <v>54</v>
      </c>
      <c r="N422" s="35">
        <v>184</v>
      </c>
    </row>
    <row r="423" spans="1:14" x14ac:dyDescent="0.3">
      <c r="A423" s="4" t="s">
        <v>798</v>
      </c>
      <c r="B423" s="4" t="str">
        <f>TEXT(Table1[[#This Row],[Date]],"mmmm")</f>
        <v>July</v>
      </c>
      <c r="C423" s="14">
        <v>46225</v>
      </c>
      <c r="D423" s="2" t="s">
        <v>799</v>
      </c>
      <c r="E423" s="2" t="s">
        <v>27</v>
      </c>
      <c r="F423" s="2" t="s">
        <v>67</v>
      </c>
      <c r="G423" s="2" t="s">
        <v>17</v>
      </c>
      <c r="H423" s="2">
        <v>2</v>
      </c>
      <c r="I423" s="31">
        <v>746</v>
      </c>
      <c r="J423" s="3">
        <v>0.06</v>
      </c>
      <c r="K423" s="31">
        <v>1402</v>
      </c>
      <c r="L423" s="2" t="s">
        <v>18</v>
      </c>
      <c r="M423" s="2" t="s">
        <v>54</v>
      </c>
      <c r="N423" s="35">
        <v>140</v>
      </c>
    </row>
    <row r="424" spans="1:14" x14ac:dyDescent="0.3">
      <c r="A424" s="4" t="s">
        <v>800</v>
      </c>
      <c r="B424" s="4" t="str">
        <f>TEXT(Table1[[#This Row],[Date]],"mmmm")</f>
        <v>March</v>
      </c>
      <c r="C424" s="14">
        <v>46098</v>
      </c>
      <c r="D424" s="2" t="s">
        <v>801</v>
      </c>
      <c r="E424" s="2" t="s">
        <v>15</v>
      </c>
      <c r="F424" s="2" t="s">
        <v>48</v>
      </c>
      <c r="G424" s="2" t="s">
        <v>17</v>
      </c>
      <c r="H424" s="2">
        <v>2</v>
      </c>
      <c r="I424" s="31">
        <v>118</v>
      </c>
      <c r="J424" s="3">
        <v>0.13</v>
      </c>
      <c r="K424" s="31">
        <v>205</v>
      </c>
      <c r="L424" s="2" t="s">
        <v>24</v>
      </c>
      <c r="M424" s="2" t="s">
        <v>54</v>
      </c>
      <c r="N424" s="35">
        <v>24</v>
      </c>
    </row>
    <row r="425" spans="1:14" x14ac:dyDescent="0.3">
      <c r="A425" s="4" t="s">
        <v>802</v>
      </c>
      <c r="B425" s="4" t="str">
        <f>TEXT(Table1[[#This Row],[Date]],"mmmm")</f>
        <v>March</v>
      </c>
      <c r="C425" s="14">
        <v>46109</v>
      </c>
      <c r="D425" s="2" t="s">
        <v>156</v>
      </c>
      <c r="E425" s="2" t="s">
        <v>40</v>
      </c>
      <c r="F425" s="2" t="s">
        <v>33</v>
      </c>
      <c r="G425" s="2" t="s">
        <v>17</v>
      </c>
      <c r="H425" s="2">
        <v>2</v>
      </c>
      <c r="I425" s="31">
        <v>530</v>
      </c>
      <c r="J425" s="3">
        <v>0.1</v>
      </c>
      <c r="K425" s="31">
        <v>954</v>
      </c>
      <c r="L425" s="2" t="s">
        <v>18</v>
      </c>
      <c r="M425" s="2" t="s">
        <v>30</v>
      </c>
      <c r="N425" s="35">
        <v>314</v>
      </c>
    </row>
    <row r="426" spans="1:14" x14ac:dyDescent="0.3">
      <c r="A426" s="4" t="s">
        <v>803</v>
      </c>
      <c r="B426" s="4" t="str">
        <f>TEXT(Table1[[#This Row],[Date]],"mmmm")</f>
        <v>November</v>
      </c>
      <c r="C426" s="14">
        <v>46327</v>
      </c>
      <c r="D426" s="2" t="s">
        <v>804</v>
      </c>
      <c r="E426" s="2" t="s">
        <v>22</v>
      </c>
      <c r="F426" s="2" t="s">
        <v>33</v>
      </c>
      <c r="G426" s="2" t="s">
        <v>17</v>
      </c>
      <c r="H426" s="2">
        <v>4</v>
      </c>
      <c r="I426" s="31">
        <v>310</v>
      </c>
      <c r="J426" s="3">
        <v>0.1</v>
      </c>
      <c r="K426" s="31">
        <v>1116</v>
      </c>
      <c r="L426" s="2" t="s">
        <v>18</v>
      </c>
      <c r="M426" s="2" t="s">
        <v>30</v>
      </c>
      <c r="N426" s="35">
        <v>345</v>
      </c>
    </row>
    <row r="427" spans="1:14" x14ac:dyDescent="0.3">
      <c r="A427" s="4" t="s">
        <v>805</v>
      </c>
      <c r="B427" s="4" t="str">
        <f>TEXT(Table1[[#This Row],[Date]],"mmmm")</f>
        <v>June</v>
      </c>
      <c r="C427" s="14">
        <v>46201</v>
      </c>
      <c r="D427" s="2" t="s">
        <v>806</v>
      </c>
      <c r="E427" s="2" t="s">
        <v>22</v>
      </c>
      <c r="F427" s="2" t="s">
        <v>71</v>
      </c>
      <c r="G427" s="2" t="s">
        <v>17</v>
      </c>
      <c r="H427" s="2">
        <v>1</v>
      </c>
      <c r="I427" s="31">
        <v>503</v>
      </c>
      <c r="J427" s="3">
        <v>0.01</v>
      </c>
      <c r="K427" s="31">
        <v>497</v>
      </c>
      <c r="L427" s="2" t="s">
        <v>18</v>
      </c>
      <c r="M427" s="2" t="s">
        <v>19</v>
      </c>
      <c r="N427" s="35">
        <v>89</v>
      </c>
    </row>
    <row r="428" spans="1:14" x14ac:dyDescent="0.3">
      <c r="A428" s="4" t="s">
        <v>807</v>
      </c>
      <c r="B428" s="4" t="str">
        <f>TEXT(Table1[[#This Row],[Date]],"mmmm")</f>
        <v>June</v>
      </c>
      <c r="C428" s="14">
        <v>46196</v>
      </c>
      <c r="D428" s="2" t="s">
        <v>470</v>
      </c>
      <c r="E428" s="2" t="s">
        <v>40</v>
      </c>
      <c r="F428" s="2" t="s">
        <v>23</v>
      </c>
      <c r="G428" s="2" t="s">
        <v>17</v>
      </c>
      <c r="H428" s="2">
        <v>1</v>
      </c>
      <c r="I428" s="31">
        <v>350</v>
      </c>
      <c r="J428" s="3">
        <v>0.13</v>
      </c>
      <c r="K428" s="31">
        <v>304</v>
      </c>
      <c r="L428" s="2" t="s">
        <v>29</v>
      </c>
      <c r="M428" s="2" t="s">
        <v>19</v>
      </c>
      <c r="N428" s="35">
        <v>76</v>
      </c>
    </row>
    <row r="429" spans="1:14" x14ac:dyDescent="0.3">
      <c r="A429" s="4" t="s">
        <v>808</v>
      </c>
      <c r="B429" s="4" t="str">
        <f>TEXT(Table1[[#This Row],[Date]],"mmmm")</f>
        <v>September</v>
      </c>
      <c r="C429" s="14">
        <v>46277</v>
      </c>
      <c r="D429" s="2" t="s">
        <v>809</v>
      </c>
      <c r="E429" s="2" t="s">
        <v>27</v>
      </c>
      <c r="F429" s="2" t="s">
        <v>23</v>
      </c>
      <c r="G429" s="2" t="s">
        <v>17</v>
      </c>
      <c r="H429" s="2">
        <v>1</v>
      </c>
      <c r="I429" s="31">
        <v>385</v>
      </c>
      <c r="J429" s="3">
        <v>0.13</v>
      </c>
      <c r="K429" s="31">
        <v>334</v>
      </c>
      <c r="L429" s="2" t="s">
        <v>18</v>
      </c>
      <c r="M429" s="2" t="s">
        <v>19</v>
      </c>
      <c r="N429" s="35">
        <v>86</v>
      </c>
    </row>
    <row r="430" spans="1:14" x14ac:dyDescent="0.3">
      <c r="A430" s="4" t="s">
        <v>810</v>
      </c>
      <c r="B430" s="4" t="str">
        <f>TEXT(Table1[[#This Row],[Date]],"mmmm")</f>
        <v>March</v>
      </c>
      <c r="C430" s="14">
        <v>46102</v>
      </c>
      <c r="D430" s="2" t="s">
        <v>811</v>
      </c>
      <c r="E430" s="2" t="s">
        <v>40</v>
      </c>
      <c r="F430" s="2" t="s">
        <v>74</v>
      </c>
      <c r="G430" s="2" t="s">
        <v>17</v>
      </c>
      <c r="H430" s="2">
        <v>3</v>
      </c>
      <c r="I430" s="31">
        <v>699</v>
      </c>
      <c r="J430" s="3">
        <v>0.13</v>
      </c>
      <c r="K430" s="31">
        <v>1824</v>
      </c>
      <c r="L430" s="2" t="s">
        <v>37</v>
      </c>
      <c r="M430" s="2" t="s">
        <v>19</v>
      </c>
      <c r="N430" s="35">
        <v>547</v>
      </c>
    </row>
    <row r="431" spans="1:14" x14ac:dyDescent="0.3">
      <c r="A431" s="4" t="s">
        <v>812</v>
      </c>
      <c r="B431" s="4" t="str">
        <f>TEXT(Table1[[#This Row],[Date]],"mmmm")</f>
        <v>August</v>
      </c>
      <c r="C431" s="14">
        <v>46255</v>
      </c>
      <c r="D431" s="2" t="s">
        <v>813</v>
      </c>
      <c r="E431" s="2" t="s">
        <v>40</v>
      </c>
      <c r="F431" s="2" t="s">
        <v>71</v>
      </c>
      <c r="G431" s="2" t="s">
        <v>17</v>
      </c>
      <c r="H431" s="2">
        <v>4</v>
      </c>
      <c r="I431" s="31">
        <v>684</v>
      </c>
      <c r="J431" s="3">
        <v>0.08</v>
      </c>
      <c r="K431" s="31">
        <v>2517</v>
      </c>
      <c r="L431" s="2" t="s">
        <v>24</v>
      </c>
      <c r="M431" s="2" t="s">
        <v>30</v>
      </c>
      <c r="N431" s="35">
        <v>755</v>
      </c>
    </row>
    <row r="432" spans="1:14" x14ac:dyDescent="0.3">
      <c r="A432" s="4" t="s">
        <v>814</v>
      </c>
      <c r="B432" s="4" t="str">
        <f>TEXT(Table1[[#This Row],[Date]],"mmmm")</f>
        <v>June</v>
      </c>
      <c r="C432" s="14">
        <v>46200</v>
      </c>
      <c r="D432" s="2" t="s">
        <v>387</v>
      </c>
      <c r="E432" s="2" t="s">
        <v>70</v>
      </c>
      <c r="F432" s="2" t="s">
        <v>28</v>
      </c>
      <c r="G432" s="2" t="s">
        <v>17</v>
      </c>
      <c r="H432" s="2">
        <v>3</v>
      </c>
      <c r="I432" s="31">
        <v>165</v>
      </c>
      <c r="J432" s="3">
        <v>0.03</v>
      </c>
      <c r="K432" s="31">
        <v>480</v>
      </c>
      <c r="L432" s="2" t="s">
        <v>29</v>
      </c>
      <c r="M432" s="2" t="s">
        <v>30</v>
      </c>
      <c r="N432" s="35">
        <v>76</v>
      </c>
    </row>
    <row r="433" spans="1:14" x14ac:dyDescent="0.3">
      <c r="A433" s="4" t="s">
        <v>815</v>
      </c>
      <c r="B433" s="4" t="str">
        <f>TEXT(Table1[[#This Row],[Date]],"mmmm")</f>
        <v>January</v>
      </c>
      <c r="C433" s="14">
        <v>46042</v>
      </c>
      <c r="D433" s="2" t="s">
        <v>304</v>
      </c>
      <c r="E433" s="2" t="s">
        <v>27</v>
      </c>
      <c r="F433" s="2" t="s">
        <v>48</v>
      </c>
      <c r="G433" s="2" t="s">
        <v>17</v>
      </c>
      <c r="H433" s="2">
        <v>4</v>
      </c>
      <c r="I433" s="31">
        <v>156</v>
      </c>
      <c r="J433" s="3">
        <v>0.09</v>
      </c>
      <c r="K433" s="31">
        <v>567</v>
      </c>
      <c r="L433" s="2" t="s">
        <v>29</v>
      </c>
      <c r="M433" s="2" t="s">
        <v>19</v>
      </c>
      <c r="N433" s="35">
        <v>56</v>
      </c>
    </row>
    <row r="434" spans="1:14" x14ac:dyDescent="0.3">
      <c r="A434" s="4" t="s">
        <v>816</v>
      </c>
      <c r="B434" s="4" t="str">
        <f>TEXT(Table1[[#This Row],[Date]],"mmmm")</f>
        <v>June</v>
      </c>
      <c r="C434" s="14">
        <v>46183</v>
      </c>
      <c r="D434" s="2" t="s">
        <v>817</v>
      </c>
      <c r="E434" s="2" t="s">
        <v>22</v>
      </c>
      <c r="F434" s="2" t="s">
        <v>48</v>
      </c>
      <c r="G434" s="2" t="s">
        <v>17</v>
      </c>
      <c r="H434" s="2">
        <v>5</v>
      </c>
      <c r="I434" s="31">
        <v>642</v>
      </c>
      <c r="J434" s="3">
        <v>0</v>
      </c>
      <c r="K434" s="31">
        <v>3210</v>
      </c>
      <c r="L434" s="2" t="s">
        <v>24</v>
      </c>
      <c r="M434" s="2" t="s">
        <v>54</v>
      </c>
      <c r="N434" s="35">
        <v>674</v>
      </c>
    </row>
    <row r="435" spans="1:14" x14ac:dyDescent="0.3">
      <c r="A435" s="4" t="s">
        <v>818</v>
      </c>
      <c r="B435" s="4" t="str">
        <f>TEXT(Table1[[#This Row],[Date]],"mmmm")</f>
        <v>March</v>
      </c>
      <c r="C435" s="14">
        <v>46096</v>
      </c>
      <c r="D435" s="2" t="s">
        <v>190</v>
      </c>
      <c r="E435" s="2" t="s">
        <v>15</v>
      </c>
      <c r="F435" s="2" t="s">
        <v>67</v>
      </c>
      <c r="G435" s="2" t="s">
        <v>17</v>
      </c>
      <c r="H435" s="2">
        <v>5</v>
      </c>
      <c r="I435" s="31">
        <v>527</v>
      </c>
      <c r="J435" s="3">
        <v>0.08</v>
      </c>
      <c r="K435" s="31">
        <v>2424</v>
      </c>
      <c r="L435" s="2" t="s">
        <v>18</v>
      </c>
      <c r="M435" s="2" t="s">
        <v>30</v>
      </c>
      <c r="N435" s="35">
        <v>751</v>
      </c>
    </row>
    <row r="436" spans="1:14" x14ac:dyDescent="0.3">
      <c r="A436" s="4" t="s">
        <v>819</v>
      </c>
      <c r="B436" s="4" t="str">
        <f>TEXT(Table1[[#This Row],[Date]],"mmmm")</f>
        <v>August</v>
      </c>
      <c r="C436" s="14">
        <v>46241</v>
      </c>
      <c r="D436" s="2" t="s">
        <v>96</v>
      </c>
      <c r="E436" s="2" t="s">
        <v>70</v>
      </c>
      <c r="F436" s="2" t="s">
        <v>33</v>
      </c>
      <c r="G436" s="2" t="s">
        <v>17</v>
      </c>
      <c r="H436" s="2">
        <v>1</v>
      </c>
      <c r="I436" s="31">
        <v>419</v>
      </c>
      <c r="J436" s="3">
        <v>0.16</v>
      </c>
      <c r="K436" s="31">
        <v>351</v>
      </c>
      <c r="L436" s="2" t="s">
        <v>18</v>
      </c>
      <c r="M436" s="2" t="s">
        <v>54</v>
      </c>
      <c r="N436" s="35">
        <v>91</v>
      </c>
    </row>
    <row r="437" spans="1:14" x14ac:dyDescent="0.3">
      <c r="A437" s="4" t="s">
        <v>820</v>
      </c>
      <c r="B437" s="4" t="str">
        <f>TEXT(Table1[[#This Row],[Date]],"mmmm")</f>
        <v>May</v>
      </c>
      <c r="C437" s="14">
        <v>46169</v>
      </c>
      <c r="D437" s="2" t="s">
        <v>821</v>
      </c>
      <c r="E437" s="2" t="s">
        <v>15</v>
      </c>
      <c r="F437" s="2" t="s">
        <v>41</v>
      </c>
      <c r="G437" s="2" t="s">
        <v>17</v>
      </c>
      <c r="H437" s="2">
        <v>1</v>
      </c>
      <c r="I437" s="31">
        <v>540</v>
      </c>
      <c r="J437" s="3">
        <v>0.18</v>
      </c>
      <c r="K437" s="31">
        <v>442</v>
      </c>
      <c r="L437" s="2" t="s">
        <v>24</v>
      </c>
      <c r="M437" s="2" t="s">
        <v>19</v>
      </c>
      <c r="N437" s="35">
        <v>114</v>
      </c>
    </row>
    <row r="438" spans="1:14" x14ac:dyDescent="0.3">
      <c r="A438" s="4" t="s">
        <v>822</v>
      </c>
      <c r="B438" s="4" t="str">
        <f>TEXT(Table1[[#This Row],[Date]],"mmmm")</f>
        <v>December</v>
      </c>
      <c r="C438" s="14">
        <v>46378</v>
      </c>
      <c r="D438" s="2" t="s">
        <v>35</v>
      </c>
      <c r="E438" s="2" t="s">
        <v>40</v>
      </c>
      <c r="F438" s="2" t="s">
        <v>53</v>
      </c>
      <c r="G438" s="2" t="s">
        <v>17</v>
      </c>
      <c r="H438" s="2">
        <v>5</v>
      </c>
      <c r="I438" s="31">
        <v>377</v>
      </c>
      <c r="J438" s="3">
        <v>0.15</v>
      </c>
      <c r="K438" s="31">
        <v>1602</v>
      </c>
      <c r="L438" s="2" t="s">
        <v>37</v>
      </c>
      <c r="M438" s="2" t="s">
        <v>54</v>
      </c>
      <c r="N438" s="35">
        <v>288</v>
      </c>
    </row>
    <row r="439" spans="1:14" x14ac:dyDescent="0.3">
      <c r="A439" s="4" t="s">
        <v>823</v>
      </c>
      <c r="B439" s="4" t="str">
        <f>TEXT(Table1[[#This Row],[Date]],"mmmm")</f>
        <v>April</v>
      </c>
      <c r="C439" s="14">
        <v>46136</v>
      </c>
      <c r="D439" s="2" t="s">
        <v>824</v>
      </c>
      <c r="E439" s="2" t="s">
        <v>40</v>
      </c>
      <c r="F439" s="2" t="s">
        <v>28</v>
      </c>
      <c r="G439" s="2" t="s">
        <v>17</v>
      </c>
      <c r="H439" s="2">
        <v>5</v>
      </c>
      <c r="I439" s="31">
        <v>623</v>
      </c>
      <c r="J439" s="3">
        <v>0.16</v>
      </c>
      <c r="K439" s="31">
        <v>2616</v>
      </c>
      <c r="L439" s="2" t="s">
        <v>29</v>
      </c>
      <c r="M439" s="2" t="s">
        <v>30</v>
      </c>
      <c r="N439" s="35">
        <v>680</v>
      </c>
    </row>
    <row r="440" spans="1:14" x14ac:dyDescent="0.3">
      <c r="A440" s="4" t="s">
        <v>825</v>
      </c>
      <c r="B440" s="4" t="str">
        <f>TEXT(Table1[[#This Row],[Date]],"mmmm")</f>
        <v>May</v>
      </c>
      <c r="C440" s="14">
        <v>46166</v>
      </c>
      <c r="D440" s="2" t="s">
        <v>56</v>
      </c>
      <c r="E440" s="2" t="s">
        <v>15</v>
      </c>
      <c r="F440" s="2" t="s">
        <v>16</v>
      </c>
      <c r="G440" s="2" t="s">
        <v>17</v>
      </c>
      <c r="H440" s="2">
        <v>2</v>
      </c>
      <c r="I440" s="31">
        <v>322</v>
      </c>
      <c r="J440" s="3">
        <v>0.01</v>
      </c>
      <c r="K440" s="31">
        <v>637</v>
      </c>
      <c r="L440" s="2" t="s">
        <v>37</v>
      </c>
      <c r="M440" s="2" t="s">
        <v>19</v>
      </c>
      <c r="N440" s="35">
        <v>95</v>
      </c>
    </row>
    <row r="441" spans="1:14" x14ac:dyDescent="0.3">
      <c r="A441" s="4" t="s">
        <v>826</v>
      </c>
      <c r="B441" s="4" t="str">
        <f>TEXT(Table1[[#This Row],[Date]],"mmmm")</f>
        <v>April</v>
      </c>
      <c r="C441" s="14">
        <v>46123</v>
      </c>
      <c r="D441" s="2" t="s">
        <v>535</v>
      </c>
      <c r="E441" s="2" t="s">
        <v>22</v>
      </c>
      <c r="F441" s="2" t="s">
        <v>41</v>
      </c>
      <c r="G441" s="2" t="s">
        <v>17</v>
      </c>
      <c r="H441" s="2">
        <v>1</v>
      </c>
      <c r="I441" s="31">
        <v>180</v>
      </c>
      <c r="J441" s="3">
        <v>0.14000000000000001</v>
      </c>
      <c r="K441" s="31">
        <v>154</v>
      </c>
      <c r="L441" s="2" t="s">
        <v>37</v>
      </c>
      <c r="M441" s="2" t="s">
        <v>19</v>
      </c>
      <c r="N441" s="35">
        <v>40</v>
      </c>
    </row>
    <row r="442" spans="1:14" x14ac:dyDescent="0.3">
      <c r="A442" s="4" t="s">
        <v>827</v>
      </c>
      <c r="B442" s="4" t="str">
        <f>TEXT(Table1[[#This Row],[Date]],"mmmm")</f>
        <v>November</v>
      </c>
      <c r="C442" s="14">
        <v>46332</v>
      </c>
      <c r="D442" s="2" t="s">
        <v>828</v>
      </c>
      <c r="E442" s="2" t="s">
        <v>15</v>
      </c>
      <c r="F442" s="2" t="s">
        <v>53</v>
      </c>
      <c r="G442" s="2" t="s">
        <v>17</v>
      </c>
      <c r="H442" s="2">
        <v>2</v>
      </c>
      <c r="I442" s="31">
        <v>217</v>
      </c>
      <c r="J442" s="3">
        <v>0.1</v>
      </c>
      <c r="K442" s="31">
        <v>390</v>
      </c>
      <c r="L442" s="2" t="s">
        <v>37</v>
      </c>
      <c r="M442" s="2" t="s">
        <v>30</v>
      </c>
      <c r="N442" s="35">
        <v>89</v>
      </c>
    </row>
    <row r="443" spans="1:14" x14ac:dyDescent="0.3">
      <c r="A443" s="4" t="s">
        <v>829</v>
      </c>
      <c r="B443" s="4" t="str">
        <f>TEXT(Table1[[#This Row],[Date]],"mmmm")</f>
        <v>October</v>
      </c>
      <c r="C443" s="14">
        <v>46320</v>
      </c>
      <c r="D443" s="2" t="s">
        <v>268</v>
      </c>
      <c r="E443" s="2" t="s">
        <v>40</v>
      </c>
      <c r="F443" s="2" t="s">
        <v>36</v>
      </c>
      <c r="G443" s="2" t="s">
        <v>17</v>
      </c>
      <c r="H443" s="2">
        <v>1</v>
      </c>
      <c r="I443" s="31">
        <v>446</v>
      </c>
      <c r="J443" s="3">
        <v>0.14000000000000001</v>
      </c>
      <c r="K443" s="31">
        <v>383</v>
      </c>
      <c r="L443" s="2" t="s">
        <v>24</v>
      </c>
      <c r="M443" s="2" t="s">
        <v>19</v>
      </c>
      <c r="N443" s="35">
        <v>114</v>
      </c>
    </row>
    <row r="444" spans="1:14" x14ac:dyDescent="0.3">
      <c r="A444" s="4" t="s">
        <v>830</v>
      </c>
      <c r="B444" s="4" t="str">
        <f>TEXT(Table1[[#This Row],[Date]],"mmmm")</f>
        <v>November</v>
      </c>
      <c r="C444" s="14">
        <v>46350</v>
      </c>
      <c r="D444" s="2" t="s">
        <v>495</v>
      </c>
      <c r="E444" s="2" t="s">
        <v>15</v>
      </c>
      <c r="F444" s="2" t="s">
        <v>41</v>
      </c>
      <c r="G444" s="2" t="s">
        <v>17</v>
      </c>
      <c r="H444" s="2">
        <v>1</v>
      </c>
      <c r="I444" s="31">
        <v>208</v>
      </c>
      <c r="J444" s="3">
        <v>0.14000000000000001</v>
      </c>
      <c r="K444" s="31">
        <v>178</v>
      </c>
      <c r="L444" s="2" t="s">
        <v>29</v>
      </c>
      <c r="M444" s="2" t="s">
        <v>19</v>
      </c>
      <c r="N444" s="35">
        <v>46</v>
      </c>
    </row>
    <row r="445" spans="1:14" x14ac:dyDescent="0.3">
      <c r="A445" s="4" t="s">
        <v>831</v>
      </c>
      <c r="B445" s="4" t="str">
        <f>TEXT(Table1[[#This Row],[Date]],"mmmm")</f>
        <v>March</v>
      </c>
      <c r="C445" s="14">
        <v>46083</v>
      </c>
      <c r="D445" s="2" t="s">
        <v>724</v>
      </c>
      <c r="E445" s="2" t="s">
        <v>70</v>
      </c>
      <c r="F445" s="2" t="s">
        <v>74</v>
      </c>
      <c r="G445" s="2" t="s">
        <v>17</v>
      </c>
      <c r="H445" s="2">
        <v>3</v>
      </c>
      <c r="I445" s="31">
        <v>387</v>
      </c>
      <c r="J445" s="3">
        <v>0.2</v>
      </c>
      <c r="K445" s="31">
        <v>928</v>
      </c>
      <c r="L445" s="2" t="s">
        <v>29</v>
      </c>
      <c r="M445" s="2" t="s">
        <v>30</v>
      </c>
      <c r="N445" s="35">
        <v>120</v>
      </c>
    </row>
    <row r="446" spans="1:14" x14ac:dyDescent="0.3">
      <c r="A446" s="4" t="s">
        <v>832</v>
      </c>
      <c r="B446" s="4" t="str">
        <f>TEXT(Table1[[#This Row],[Date]],"mmmm")</f>
        <v>July</v>
      </c>
      <c r="C446" s="14">
        <v>46220</v>
      </c>
      <c r="D446" s="2" t="s">
        <v>833</v>
      </c>
      <c r="E446" s="2" t="s">
        <v>40</v>
      </c>
      <c r="F446" s="2" t="s">
        <v>36</v>
      </c>
      <c r="G446" s="2" t="s">
        <v>17</v>
      </c>
      <c r="H446" s="2">
        <v>2</v>
      </c>
      <c r="I446" s="31">
        <v>150</v>
      </c>
      <c r="J446" s="3">
        <v>0.06</v>
      </c>
      <c r="K446" s="31">
        <v>282</v>
      </c>
      <c r="L446" s="2" t="s">
        <v>29</v>
      </c>
      <c r="M446" s="2" t="s">
        <v>54</v>
      </c>
      <c r="N446" s="35">
        <v>87</v>
      </c>
    </row>
    <row r="447" spans="1:14" x14ac:dyDescent="0.3">
      <c r="A447" s="4" t="s">
        <v>834</v>
      </c>
      <c r="B447" s="4" t="str">
        <f>TEXT(Table1[[#This Row],[Date]],"mmmm")</f>
        <v>July</v>
      </c>
      <c r="C447" s="14">
        <v>46229</v>
      </c>
      <c r="D447" s="2" t="s">
        <v>625</v>
      </c>
      <c r="E447" s="2" t="s">
        <v>40</v>
      </c>
      <c r="F447" s="2" t="s">
        <v>33</v>
      </c>
      <c r="G447" s="2" t="s">
        <v>17</v>
      </c>
      <c r="H447" s="2">
        <v>2</v>
      </c>
      <c r="I447" s="31">
        <v>202</v>
      </c>
      <c r="J447" s="3">
        <v>0</v>
      </c>
      <c r="K447" s="31">
        <v>404</v>
      </c>
      <c r="L447" s="2" t="s">
        <v>18</v>
      </c>
      <c r="M447" s="2" t="s">
        <v>54</v>
      </c>
      <c r="N447" s="35">
        <v>68</v>
      </c>
    </row>
    <row r="448" spans="1:14" x14ac:dyDescent="0.3">
      <c r="A448" s="4" t="s">
        <v>835</v>
      </c>
      <c r="B448" s="4" t="str">
        <f>TEXT(Table1[[#This Row],[Date]],"mmmm")</f>
        <v>December</v>
      </c>
      <c r="C448" s="14">
        <v>46372</v>
      </c>
      <c r="D448" s="2" t="s">
        <v>836</v>
      </c>
      <c r="E448" s="2" t="s">
        <v>40</v>
      </c>
      <c r="F448" s="2" t="s">
        <v>36</v>
      </c>
      <c r="G448" s="2" t="s">
        <v>17</v>
      </c>
      <c r="H448" s="2">
        <v>2</v>
      </c>
      <c r="I448" s="31">
        <v>217</v>
      </c>
      <c r="J448" s="3">
        <v>0.08</v>
      </c>
      <c r="K448" s="31">
        <v>399</v>
      </c>
      <c r="L448" s="2" t="s">
        <v>37</v>
      </c>
      <c r="M448" s="2" t="s">
        <v>54</v>
      </c>
      <c r="N448" s="35">
        <v>111</v>
      </c>
    </row>
    <row r="449" spans="1:14" x14ac:dyDescent="0.3">
      <c r="A449" s="4" t="s">
        <v>837</v>
      </c>
      <c r="B449" s="4" t="str">
        <f>TEXT(Table1[[#This Row],[Date]],"mmmm")</f>
        <v>June</v>
      </c>
      <c r="C449" s="14">
        <v>46179</v>
      </c>
      <c r="D449" s="2" t="s">
        <v>241</v>
      </c>
      <c r="E449" s="2" t="s">
        <v>15</v>
      </c>
      <c r="F449" s="2" t="s">
        <v>33</v>
      </c>
      <c r="G449" s="2" t="s">
        <v>17</v>
      </c>
      <c r="H449" s="2">
        <v>1</v>
      </c>
      <c r="I449" s="31">
        <v>276</v>
      </c>
      <c r="J449" s="3">
        <v>0.01</v>
      </c>
      <c r="K449" s="31">
        <v>273</v>
      </c>
      <c r="L449" s="2" t="s">
        <v>37</v>
      </c>
      <c r="M449" s="2" t="s">
        <v>19</v>
      </c>
      <c r="N449" s="35">
        <v>90</v>
      </c>
    </row>
    <row r="450" spans="1:14" x14ac:dyDescent="0.3">
      <c r="A450" s="4" t="s">
        <v>838</v>
      </c>
      <c r="B450" s="4" t="str">
        <f>TEXT(Table1[[#This Row],[Date]],"mmmm")</f>
        <v>October</v>
      </c>
      <c r="C450" s="14">
        <v>46316</v>
      </c>
      <c r="D450" s="2" t="s">
        <v>839</v>
      </c>
      <c r="E450" s="2" t="s">
        <v>27</v>
      </c>
      <c r="F450" s="2" t="s">
        <v>48</v>
      </c>
      <c r="G450" s="2" t="s">
        <v>17</v>
      </c>
      <c r="H450" s="2">
        <v>4</v>
      </c>
      <c r="I450" s="31">
        <v>90</v>
      </c>
      <c r="J450" s="3">
        <v>0</v>
      </c>
      <c r="K450" s="31">
        <v>360</v>
      </c>
      <c r="L450" s="2" t="s">
        <v>37</v>
      </c>
      <c r="M450" s="2" t="s">
        <v>54</v>
      </c>
      <c r="N450" s="35">
        <v>68</v>
      </c>
    </row>
    <row r="451" spans="1:14" x14ac:dyDescent="0.3">
      <c r="A451" s="4" t="s">
        <v>840</v>
      </c>
      <c r="B451" s="4" t="str">
        <f>TEXT(Table1[[#This Row],[Date]],"mmmm")</f>
        <v>July</v>
      </c>
      <c r="C451" s="14">
        <v>46221</v>
      </c>
      <c r="D451" s="2" t="s">
        <v>88</v>
      </c>
      <c r="E451" s="2" t="s">
        <v>27</v>
      </c>
      <c r="F451" s="2" t="s">
        <v>41</v>
      </c>
      <c r="G451" s="2" t="s">
        <v>17</v>
      </c>
      <c r="H451" s="2">
        <v>4</v>
      </c>
      <c r="I451" s="31">
        <v>301</v>
      </c>
      <c r="J451" s="3">
        <v>0</v>
      </c>
      <c r="K451" s="31">
        <v>1204</v>
      </c>
      <c r="L451" s="2" t="s">
        <v>18</v>
      </c>
      <c r="M451" s="2" t="s">
        <v>30</v>
      </c>
      <c r="N451" s="35">
        <v>180</v>
      </c>
    </row>
    <row r="452" spans="1:14" x14ac:dyDescent="0.3">
      <c r="A452" s="4" t="s">
        <v>841</v>
      </c>
      <c r="B452" s="4" t="str">
        <f>TEXT(Table1[[#This Row],[Date]],"mmmm")</f>
        <v>May</v>
      </c>
      <c r="C452" s="14">
        <v>46169</v>
      </c>
      <c r="D452" s="2" t="s">
        <v>204</v>
      </c>
      <c r="E452" s="2" t="s">
        <v>70</v>
      </c>
      <c r="F452" s="2" t="s">
        <v>16</v>
      </c>
      <c r="G452" s="2" t="s">
        <v>17</v>
      </c>
      <c r="H452" s="2">
        <v>5</v>
      </c>
      <c r="I452" s="31">
        <v>106</v>
      </c>
      <c r="J452" s="3">
        <v>0.17</v>
      </c>
      <c r="K452" s="31">
        <v>439</v>
      </c>
      <c r="L452" s="2" t="s">
        <v>37</v>
      </c>
      <c r="M452" s="2" t="s">
        <v>54</v>
      </c>
      <c r="N452" s="35">
        <v>153</v>
      </c>
    </row>
    <row r="453" spans="1:14" x14ac:dyDescent="0.3">
      <c r="A453" s="4" t="s">
        <v>842</v>
      </c>
      <c r="B453" s="4" t="str">
        <f>TEXT(Table1[[#This Row],[Date]],"mmmm")</f>
        <v>May</v>
      </c>
      <c r="C453" s="14">
        <v>46145</v>
      </c>
      <c r="D453" s="2" t="s">
        <v>657</v>
      </c>
      <c r="E453" s="2" t="s">
        <v>22</v>
      </c>
      <c r="F453" s="2" t="s">
        <v>74</v>
      </c>
      <c r="G453" s="2" t="s">
        <v>17</v>
      </c>
      <c r="H453" s="2">
        <v>2</v>
      </c>
      <c r="I453" s="31">
        <v>326</v>
      </c>
      <c r="J453" s="3">
        <v>0.16</v>
      </c>
      <c r="K453" s="31">
        <v>547</v>
      </c>
      <c r="L453" s="2" t="s">
        <v>24</v>
      </c>
      <c r="M453" s="2" t="s">
        <v>30</v>
      </c>
      <c r="N453" s="35">
        <v>158</v>
      </c>
    </row>
    <row r="454" spans="1:14" x14ac:dyDescent="0.3">
      <c r="A454" s="4" t="s">
        <v>843</v>
      </c>
      <c r="B454" s="4" t="str">
        <f>TEXT(Table1[[#This Row],[Date]],"mmmm")</f>
        <v>November</v>
      </c>
      <c r="C454" s="14">
        <v>46331</v>
      </c>
      <c r="D454" s="2" t="s">
        <v>844</v>
      </c>
      <c r="E454" s="2" t="s">
        <v>15</v>
      </c>
      <c r="F454" s="2" t="s">
        <v>53</v>
      </c>
      <c r="G454" s="2" t="s">
        <v>17</v>
      </c>
      <c r="H454" s="2">
        <v>4</v>
      </c>
      <c r="I454" s="31">
        <v>160</v>
      </c>
      <c r="J454" s="3">
        <v>0.14000000000000001</v>
      </c>
      <c r="K454" s="31">
        <v>550</v>
      </c>
      <c r="L454" s="2" t="s">
        <v>29</v>
      </c>
      <c r="M454" s="2" t="s">
        <v>30</v>
      </c>
      <c r="N454" s="35">
        <v>137</v>
      </c>
    </row>
    <row r="455" spans="1:14" x14ac:dyDescent="0.3">
      <c r="A455" s="4" t="s">
        <v>845</v>
      </c>
      <c r="B455" s="4" t="str">
        <f>TEXT(Table1[[#This Row],[Date]],"mmmm")</f>
        <v>September</v>
      </c>
      <c r="C455" s="14">
        <v>46276</v>
      </c>
      <c r="D455" s="2" t="s">
        <v>620</v>
      </c>
      <c r="E455" s="2" t="s">
        <v>15</v>
      </c>
      <c r="F455" s="2" t="s">
        <v>48</v>
      </c>
      <c r="G455" s="2" t="s">
        <v>17</v>
      </c>
      <c r="H455" s="2">
        <v>4</v>
      </c>
      <c r="I455" s="31">
        <v>731</v>
      </c>
      <c r="J455" s="3">
        <v>0.11</v>
      </c>
      <c r="K455" s="31">
        <v>2602</v>
      </c>
      <c r="L455" s="2" t="s">
        <v>18</v>
      </c>
      <c r="M455" s="2" t="s">
        <v>30</v>
      </c>
      <c r="N455" s="35">
        <v>416</v>
      </c>
    </row>
    <row r="456" spans="1:14" x14ac:dyDescent="0.3">
      <c r="A456" s="4" t="s">
        <v>846</v>
      </c>
      <c r="B456" s="4" t="str">
        <f>TEXT(Table1[[#This Row],[Date]],"mmmm")</f>
        <v>June</v>
      </c>
      <c r="C456" s="14">
        <v>46186</v>
      </c>
      <c r="D456" s="2" t="s">
        <v>618</v>
      </c>
      <c r="E456" s="2" t="s">
        <v>70</v>
      </c>
      <c r="F456" s="2" t="s">
        <v>28</v>
      </c>
      <c r="G456" s="2" t="s">
        <v>17</v>
      </c>
      <c r="H456" s="2">
        <v>2</v>
      </c>
      <c r="I456" s="31">
        <v>570</v>
      </c>
      <c r="J456" s="3">
        <v>0.03</v>
      </c>
      <c r="K456" s="31">
        <v>1105</v>
      </c>
      <c r="L456" s="2" t="s">
        <v>37</v>
      </c>
      <c r="M456" s="2" t="s">
        <v>19</v>
      </c>
      <c r="N456" s="35">
        <v>132</v>
      </c>
    </row>
    <row r="457" spans="1:14" x14ac:dyDescent="0.3">
      <c r="A457" s="4" t="s">
        <v>847</v>
      </c>
      <c r="B457" s="4" t="str">
        <f>TEXT(Table1[[#This Row],[Date]],"mmmm")</f>
        <v>February</v>
      </c>
      <c r="C457" s="14">
        <v>46081</v>
      </c>
      <c r="D457" s="2" t="s">
        <v>848</v>
      </c>
      <c r="E457" s="2" t="s">
        <v>27</v>
      </c>
      <c r="F457" s="2" t="s">
        <v>33</v>
      </c>
      <c r="G457" s="2" t="s">
        <v>17</v>
      </c>
      <c r="H457" s="2">
        <v>2</v>
      </c>
      <c r="I457" s="31">
        <v>239</v>
      </c>
      <c r="J457" s="3">
        <v>0.16</v>
      </c>
      <c r="K457" s="31">
        <v>401</v>
      </c>
      <c r="L457" s="2" t="s">
        <v>24</v>
      </c>
      <c r="M457" s="2" t="s">
        <v>19</v>
      </c>
      <c r="N457" s="35">
        <v>68</v>
      </c>
    </row>
    <row r="458" spans="1:14" x14ac:dyDescent="0.3">
      <c r="A458" s="4" t="s">
        <v>849</v>
      </c>
      <c r="B458" s="4" t="str">
        <f>TEXT(Table1[[#This Row],[Date]],"mmmm")</f>
        <v>November</v>
      </c>
      <c r="C458" s="14">
        <v>46351</v>
      </c>
      <c r="D458" s="2" t="s">
        <v>850</v>
      </c>
      <c r="E458" s="2" t="s">
        <v>40</v>
      </c>
      <c r="F458" s="2" t="s">
        <v>71</v>
      </c>
      <c r="G458" s="2" t="s">
        <v>17</v>
      </c>
      <c r="H458" s="2">
        <v>5</v>
      </c>
      <c r="I458" s="31">
        <v>272</v>
      </c>
      <c r="J458" s="3">
        <v>0.17</v>
      </c>
      <c r="K458" s="31">
        <v>1128</v>
      </c>
      <c r="L458" s="2" t="s">
        <v>37</v>
      </c>
      <c r="M458" s="2" t="s">
        <v>54</v>
      </c>
      <c r="N458" s="35">
        <v>282</v>
      </c>
    </row>
    <row r="459" spans="1:14" x14ac:dyDescent="0.3">
      <c r="A459" s="4" t="s">
        <v>851</v>
      </c>
      <c r="B459" s="4" t="str">
        <f>TEXT(Table1[[#This Row],[Date]],"mmmm")</f>
        <v>September</v>
      </c>
      <c r="C459" s="14">
        <v>46279</v>
      </c>
      <c r="D459" s="2" t="s">
        <v>708</v>
      </c>
      <c r="E459" s="2" t="s">
        <v>22</v>
      </c>
      <c r="F459" s="2" t="s">
        <v>36</v>
      </c>
      <c r="G459" s="2" t="s">
        <v>17</v>
      </c>
      <c r="H459" s="2">
        <v>3</v>
      </c>
      <c r="I459" s="31">
        <v>367</v>
      </c>
      <c r="J459" s="3">
        <v>0.2</v>
      </c>
      <c r="K459" s="31">
        <v>880</v>
      </c>
      <c r="L459" s="2" t="s">
        <v>24</v>
      </c>
      <c r="M459" s="2" t="s">
        <v>30</v>
      </c>
      <c r="N459" s="35">
        <v>114</v>
      </c>
    </row>
    <row r="460" spans="1:14" x14ac:dyDescent="0.3">
      <c r="A460" s="4" t="s">
        <v>852</v>
      </c>
      <c r="B460" s="4" t="str">
        <f>TEXT(Table1[[#This Row],[Date]],"mmmm")</f>
        <v>April</v>
      </c>
      <c r="C460" s="14">
        <v>46127</v>
      </c>
      <c r="D460" s="2" t="s">
        <v>853</v>
      </c>
      <c r="E460" s="2" t="s">
        <v>40</v>
      </c>
      <c r="F460" s="2" t="s">
        <v>53</v>
      </c>
      <c r="G460" s="2" t="s">
        <v>17</v>
      </c>
      <c r="H460" s="2">
        <v>4</v>
      </c>
      <c r="I460" s="31">
        <v>504</v>
      </c>
      <c r="J460" s="3">
        <v>0.12</v>
      </c>
      <c r="K460" s="31">
        <v>1774</v>
      </c>
      <c r="L460" s="2" t="s">
        <v>29</v>
      </c>
      <c r="M460" s="2" t="s">
        <v>30</v>
      </c>
      <c r="N460" s="35">
        <v>585</v>
      </c>
    </row>
    <row r="461" spans="1:14" x14ac:dyDescent="0.3">
      <c r="A461" s="4" t="s">
        <v>854</v>
      </c>
      <c r="B461" s="4" t="str">
        <f>TEXT(Table1[[#This Row],[Date]],"mmmm")</f>
        <v>December</v>
      </c>
      <c r="C461" s="14">
        <v>46362</v>
      </c>
      <c r="D461" s="2" t="s">
        <v>855</v>
      </c>
      <c r="E461" s="2" t="s">
        <v>70</v>
      </c>
      <c r="F461" s="2" t="s">
        <v>53</v>
      </c>
      <c r="G461" s="2" t="s">
        <v>17</v>
      </c>
      <c r="H461" s="2">
        <v>3</v>
      </c>
      <c r="I461" s="31">
        <v>497</v>
      </c>
      <c r="J461" s="3">
        <v>0.11</v>
      </c>
      <c r="K461" s="31">
        <v>1326</v>
      </c>
      <c r="L461" s="2" t="s">
        <v>24</v>
      </c>
      <c r="M461" s="2" t="s">
        <v>30</v>
      </c>
      <c r="N461" s="35">
        <v>225</v>
      </c>
    </row>
    <row r="462" spans="1:14" x14ac:dyDescent="0.3">
      <c r="A462" s="4" t="s">
        <v>856</v>
      </c>
      <c r="B462" s="4" t="str">
        <f>TEXT(Table1[[#This Row],[Date]],"mmmm")</f>
        <v>October</v>
      </c>
      <c r="C462" s="14">
        <v>46319</v>
      </c>
      <c r="D462" s="2" t="s">
        <v>857</v>
      </c>
      <c r="E462" s="2" t="s">
        <v>40</v>
      </c>
      <c r="F462" s="2" t="s">
        <v>67</v>
      </c>
      <c r="G462" s="2" t="s">
        <v>17</v>
      </c>
      <c r="H462" s="2">
        <v>1</v>
      </c>
      <c r="I462" s="31">
        <v>416</v>
      </c>
      <c r="J462" s="3">
        <v>0</v>
      </c>
      <c r="K462" s="31">
        <v>416</v>
      </c>
      <c r="L462" s="2" t="s">
        <v>37</v>
      </c>
      <c r="M462" s="2" t="s">
        <v>19</v>
      </c>
      <c r="N462" s="35">
        <v>108</v>
      </c>
    </row>
    <row r="463" spans="1:14" x14ac:dyDescent="0.3">
      <c r="A463" s="4" t="s">
        <v>858</v>
      </c>
      <c r="B463" s="4" t="str">
        <f>TEXT(Table1[[#This Row],[Date]],"mmmm")</f>
        <v>January</v>
      </c>
      <c r="C463" s="14">
        <v>46030</v>
      </c>
      <c r="D463" s="2" t="s">
        <v>539</v>
      </c>
      <c r="E463" s="2" t="s">
        <v>70</v>
      </c>
      <c r="F463" s="2" t="s">
        <v>16</v>
      </c>
      <c r="G463" s="2" t="s">
        <v>17</v>
      </c>
      <c r="H463" s="2">
        <v>1</v>
      </c>
      <c r="I463" s="31">
        <v>392</v>
      </c>
      <c r="J463" s="3">
        <v>0.19</v>
      </c>
      <c r="K463" s="31">
        <v>317</v>
      </c>
      <c r="L463" s="2" t="s">
        <v>24</v>
      </c>
      <c r="M463" s="2" t="s">
        <v>19</v>
      </c>
      <c r="N463" s="35">
        <v>85</v>
      </c>
    </row>
    <row r="464" spans="1:14" x14ac:dyDescent="0.3">
      <c r="A464" s="4" t="s">
        <v>859</v>
      </c>
      <c r="B464" s="4" t="str">
        <f>TEXT(Table1[[#This Row],[Date]],"mmmm")</f>
        <v>May</v>
      </c>
      <c r="C464" s="14">
        <v>46153</v>
      </c>
      <c r="D464" s="2" t="s">
        <v>860</v>
      </c>
      <c r="E464" s="2" t="s">
        <v>27</v>
      </c>
      <c r="F464" s="2" t="s">
        <v>33</v>
      </c>
      <c r="G464" s="2" t="s">
        <v>17</v>
      </c>
      <c r="H464" s="2">
        <v>2</v>
      </c>
      <c r="I464" s="31">
        <v>415</v>
      </c>
      <c r="J464" s="3">
        <v>0</v>
      </c>
      <c r="K464" s="31">
        <v>830</v>
      </c>
      <c r="L464" s="2" t="s">
        <v>29</v>
      </c>
      <c r="M464" s="2" t="s">
        <v>19</v>
      </c>
      <c r="N464" s="35">
        <v>99</v>
      </c>
    </row>
    <row r="465" spans="1:14" x14ac:dyDescent="0.3">
      <c r="A465" s="4" t="s">
        <v>861</v>
      </c>
      <c r="B465" s="4" t="str">
        <f>TEXT(Table1[[#This Row],[Date]],"mmmm")</f>
        <v>September</v>
      </c>
      <c r="C465" s="14">
        <v>46267</v>
      </c>
      <c r="D465" s="2" t="s">
        <v>382</v>
      </c>
      <c r="E465" s="2" t="s">
        <v>22</v>
      </c>
      <c r="F465" s="2" t="s">
        <v>36</v>
      </c>
      <c r="G465" s="2" t="s">
        <v>17</v>
      </c>
      <c r="H465" s="2">
        <v>4</v>
      </c>
      <c r="I465" s="31">
        <v>777</v>
      </c>
      <c r="J465" s="3">
        <v>0.2</v>
      </c>
      <c r="K465" s="31">
        <v>2486</v>
      </c>
      <c r="L465" s="2" t="s">
        <v>24</v>
      </c>
      <c r="M465" s="2" t="s">
        <v>54</v>
      </c>
      <c r="N465" s="35">
        <v>546</v>
      </c>
    </row>
    <row r="466" spans="1:14" x14ac:dyDescent="0.3">
      <c r="A466" s="4" t="s">
        <v>862</v>
      </c>
      <c r="B466" s="4" t="str">
        <f>TEXT(Table1[[#This Row],[Date]],"mmmm")</f>
        <v>March</v>
      </c>
      <c r="C466" s="14">
        <v>46091</v>
      </c>
      <c r="D466" s="2" t="s">
        <v>407</v>
      </c>
      <c r="E466" s="2" t="s">
        <v>40</v>
      </c>
      <c r="F466" s="2" t="s">
        <v>23</v>
      </c>
      <c r="G466" s="2" t="s">
        <v>17</v>
      </c>
      <c r="H466" s="2">
        <v>2</v>
      </c>
      <c r="I466" s="31">
        <v>474</v>
      </c>
      <c r="J466" s="3">
        <v>0.15</v>
      </c>
      <c r="K466" s="31">
        <v>805</v>
      </c>
      <c r="L466" s="2" t="s">
        <v>37</v>
      </c>
      <c r="M466" s="2" t="s">
        <v>30</v>
      </c>
      <c r="N466" s="35">
        <v>193</v>
      </c>
    </row>
    <row r="467" spans="1:14" x14ac:dyDescent="0.3">
      <c r="A467" s="4" t="s">
        <v>863</v>
      </c>
      <c r="B467" s="4" t="str">
        <f>TEXT(Table1[[#This Row],[Date]],"mmmm")</f>
        <v>January</v>
      </c>
      <c r="C467" s="14">
        <v>46024</v>
      </c>
      <c r="D467" s="2" t="s">
        <v>864</v>
      </c>
      <c r="E467" s="2" t="s">
        <v>40</v>
      </c>
      <c r="F467" s="2" t="s">
        <v>36</v>
      </c>
      <c r="G467" s="2" t="s">
        <v>17</v>
      </c>
      <c r="H467" s="2">
        <v>4</v>
      </c>
      <c r="I467" s="31">
        <v>270</v>
      </c>
      <c r="J467" s="3">
        <v>0</v>
      </c>
      <c r="K467" s="31">
        <v>1080</v>
      </c>
      <c r="L467" s="2" t="s">
        <v>37</v>
      </c>
      <c r="M467" s="2" t="s">
        <v>19</v>
      </c>
      <c r="N467" s="35">
        <v>205</v>
      </c>
    </row>
    <row r="468" spans="1:14" x14ac:dyDescent="0.3">
      <c r="A468" s="4" t="s">
        <v>865</v>
      </c>
      <c r="B468" s="4" t="str">
        <f>TEXT(Table1[[#This Row],[Date]],"mmmm")</f>
        <v>December</v>
      </c>
      <c r="C468" s="14">
        <v>46369</v>
      </c>
      <c r="D468" s="2" t="s">
        <v>35</v>
      </c>
      <c r="E468" s="2" t="s">
        <v>70</v>
      </c>
      <c r="F468" s="2" t="s">
        <v>71</v>
      </c>
      <c r="G468" s="2" t="s">
        <v>17</v>
      </c>
      <c r="H468" s="2">
        <v>5</v>
      </c>
      <c r="I468" s="31">
        <v>448</v>
      </c>
      <c r="J468" s="3">
        <v>0.1</v>
      </c>
      <c r="K468" s="31">
        <v>2016</v>
      </c>
      <c r="L468" s="2" t="s">
        <v>29</v>
      </c>
      <c r="M468" s="2" t="s">
        <v>30</v>
      </c>
      <c r="N468" s="35">
        <v>584</v>
      </c>
    </row>
    <row r="469" spans="1:14" x14ac:dyDescent="0.3">
      <c r="A469" s="4" t="s">
        <v>866</v>
      </c>
      <c r="B469" s="4" t="str">
        <f>TEXT(Table1[[#This Row],[Date]],"mmmm")</f>
        <v>April</v>
      </c>
      <c r="C469" s="14">
        <v>46119</v>
      </c>
      <c r="D469" s="2" t="s">
        <v>867</v>
      </c>
      <c r="E469" s="2" t="s">
        <v>27</v>
      </c>
      <c r="F469" s="2" t="s">
        <v>41</v>
      </c>
      <c r="G469" s="2" t="s">
        <v>17</v>
      </c>
      <c r="H469" s="2">
        <v>1</v>
      </c>
      <c r="I469" s="31">
        <v>384</v>
      </c>
      <c r="J469" s="3">
        <v>0.06</v>
      </c>
      <c r="K469" s="31">
        <v>360</v>
      </c>
      <c r="L469" s="2" t="s">
        <v>24</v>
      </c>
      <c r="M469" s="2" t="s">
        <v>30</v>
      </c>
      <c r="N469" s="35">
        <v>72</v>
      </c>
    </row>
    <row r="470" spans="1:14" x14ac:dyDescent="0.3">
      <c r="A470" s="4" t="s">
        <v>868</v>
      </c>
      <c r="B470" s="4" t="str">
        <f>TEXT(Table1[[#This Row],[Date]],"mmmm")</f>
        <v>April</v>
      </c>
      <c r="C470" s="14">
        <v>46130</v>
      </c>
      <c r="D470" s="2" t="s">
        <v>310</v>
      </c>
      <c r="E470" s="2" t="s">
        <v>40</v>
      </c>
      <c r="F470" s="2" t="s">
        <v>28</v>
      </c>
      <c r="G470" s="2" t="s">
        <v>17</v>
      </c>
      <c r="H470" s="2">
        <v>4</v>
      </c>
      <c r="I470" s="31">
        <v>779</v>
      </c>
      <c r="J470" s="3">
        <v>7.0000000000000007E-2</v>
      </c>
      <c r="K470" s="31">
        <v>2897</v>
      </c>
      <c r="L470" s="2" t="s">
        <v>18</v>
      </c>
      <c r="M470" s="2" t="s">
        <v>54</v>
      </c>
      <c r="N470" s="35">
        <v>521</v>
      </c>
    </row>
    <row r="471" spans="1:14" x14ac:dyDescent="0.3">
      <c r="A471" s="4" t="s">
        <v>869</v>
      </c>
      <c r="B471" s="4" t="str">
        <f>TEXT(Table1[[#This Row],[Date]],"mmmm")</f>
        <v>September</v>
      </c>
      <c r="C471" s="14">
        <v>46286</v>
      </c>
      <c r="D471" s="2" t="s">
        <v>870</v>
      </c>
      <c r="E471" s="2" t="s">
        <v>15</v>
      </c>
      <c r="F471" s="2" t="s">
        <v>33</v>
      </c>
      <c r="G471" s="2" t="s">
        <v>17</v>
      </c>
      <c r="H471" s="2">
        <v>4</v>
      </c>
      <c r="I471" s="31">
        <v>166</v>
      </c>
      <c r="J471" s="3">
        <v>0.14000000000000001</v>
      </c>
      <c r="K471" s="31">
        <v>571</v>
      </c>
      <c r="L471" s="2" t="s">
        <v>18</v>
      </c>
      <c r="M471" s="2" t="s">
        <v>54</v>
      </c>
      <c r="N471" s="35">
        <v>62</v>
      </c>
    </row>
    <row r="472" spans="1:14" x14ac:dyDescent="0.3">
      <c r="A472" s="4" t="s">
        <v>871</v>
      </c>
      <c r="B472" s="4" t="str">
        <f>TEXT(Table1[[#This Row],[Date]],"mmmm")</f>
        <v>November</v>
      </c>
      <c r="C472" s="14">
        <v>46329</v>
      </c>
      <c r="D472" s="2" t="s">
        <v>308</v>
      </c>
      <c r="E472" s="2" t="s">
        <v>40</v>
      </c>
      <c r="F472" s="2" t="s">
        <v>67</v>
      </c>
      <c r="G472" s="2" t="s">
        <v>17</v>
      </c>
      <c r="H472" s="2">
        <v>5</v>
      </c>
      <c r="I472" s="31">
        <v>178</v>
      </c>
      <c r="J472" s="3">
        <v>7.0000000000000007E-2</v>
      </c>
      <c r="K472" s="31">
        <v>827</v>
      </c>
      <c r="L472" s="2" t="s">
        <v>29</v>
      </c>
      <c r="M472" s="2" t="s">
        <v>30</v>
      </c>
      <c r="N472" s="35">
        <v>173</v>
      </c>
    </row>
    <row r="473" spans="1:14" x14ac:dyDescent="0.3">
      <c r="A473" s="4" t="s">
        <v>872</v>
      </c>
      <c r="B473" s="4" t="str">
        <f>TEXT(Table1[[#This Row],[Date]],"mmmm")</f>
        <v>March</v>
      </c>
      <c r="C473" s="14">
        <v>46102</v>
      </c>
      <c r="D473" s="2" t="s">
        <v>873</v>
      </c>
      <c r="E473" s="2" t="s">
        <v>40</v>
      </c>
      <c r="F473" s="2" t="s">
        <v>33</v>
      </c>
      <c r="G473" s="2" t="s">
        <v>17</v>
      </c>
      <c r="H473" s="2">
        <v>4</v>
      </c>
      <c r="I473" s="31">
        <v>561</v>
      </c>
      <c r="J473" s="3">
        <v>0.2</v>
      </c>
      <c r="K473" s="31">
        <v>1795</v>
      </c>
      <c r="L473" s="2" t="s">
        <v>18</v>
      </c>
      <c r="M473" s="2" t="s">
        <v>30</v>
      </c>
      <c r="N473" s="35">
        <v>538</v>
      </c>
    </row>
    <row r="474" spans="1:14" x14ac:dyDescent="0.3">
      <c r="A474" s="4" t="s">
        <v>874</v>
      </c>
      <c r="B474" s="4" t="str">
        <f>TEXT(Table1[[#This Row],[Date]],"mmmm")</f>
        <v>December</v>
      </c>
      <c r="C474" s="14">
        <v>46359</v>
      </c>
      <c r="D474" s="2" t="s">
        <v>575</v>
      </c>
      <c r="E474" s="2" t="s">
        <v>40</v>
      </c>
      <c r="F474" s="2" t="s">
        <v>23</v>
      </c>
      <c r="G474" s="2" t="s">
        <v>17</v>
      </c>
      <c r="H474" s="2">
        <v>4</v>
      </c>
      <c r="I474" s="31">
        <v>504</v>
      </c>
      <c r="J474" s="3">
        <v>0.06</v>
      </c>
      <c r="K474" s="31">
        <v>1895</v>
      </c>
      <c r="L474" s="2" t="s">
        <v>24</v>
      </c>
      <c r="M474" s="2" t="s">
        <v>30</v>
      </c>
      <c r="N474" s="35">
        <v>606</v>
      </c>
    </row>
    <row r="475" spans="1:14" x14ac:dyDescent="0.3">
      <c r="A475" s="4" t="s">
        <v>875</v>
      </c>
      <c r="B475" s="4" t="str">
        <f>TEXT(Table1[[#This Row],[Date]],"mmmm")</f>
        <v>January</v>
      </c>
      <c r="C475" s="14">
        <v>46038</v>
      </c>
      <c r="D475" s="2" t="s">
        <v>581</v>
      </c>
      <c r="E475" s="2" t="s">
        <v>15</v>
      </c>
      <c r="F475" s="2" t="s">
        <v>53</v>
      </c>
      <c r="G475" s="2" t="s">
        <v>17</v>
      </c>
      <c r="H475" s="2">
        <v>5</v>
      </c>
      <c r="I475" s="31">
        <v>623</v>
      </c>
      <c r="J475" s="3">
        <v>0.08</v>
      </c>
      <c r="K475" s="31">
        <v>2865</v>
      </c>
      <c r="L475" s="2" t="s">
        <v>18</v>
      </c>
      <c r="M475" s="2" t="s">
        <v>19</v>
      </c>
      <c r="N475" s="35">
        <v>372</v>
      </c>
    </row>
    <row r="476" spans="1:14" x14ac:dyDescent="0.3">
      <c r="A476" s="4" t="s">
        <v>876</v>
      </c>
      <c r="B476" s="4" t="str">
        <f>TEXT(Table1[[#This Row],[Date]],"mmmm")</f>
        <v>November</v>
      </c>
      <c r="C476" s="14">
        <v>46339</v>
      </c>
      <c r="D476" s="2" t="s">
        <v>877</v>
      </c>
      <c r="E476" s="2" t="s">
        <v>70</v>
      </c>
      <c r="F476" s="2" t="s">
        <v>71</v>
      </c>
      <c r="G476" s="2" t="s">
        <v>17</v>
      </c>
      <c r="H476" s="2">
        <v>5</v>
      </c>
      <c r="I476" s="31">
        <v>528</v>
      </c>
      <c r="J476" s="3">
        <v>0.02</v>
      </c>
      <c r="K476" s="31">
        <v>2587</v>
      </c>
      <c r="L476" s="2" t="s">
        <v>37</v>
      </c>
      <c r="M476" s="2" t="s">
        <v>30</v>
      </c>
      <c r="N476" s="35">
        <v>413</v>
      </c>
    </row>
    <row r="477" spans="1:14" x14ac:dyDescent="0.3">
      <c r="A477" s="4" t="s">
        <v>878</v>
      </c>
      <c r="B477" s="4" t="str">
        <f>TEXT(Table1[[#This Row],[Date]],"mmmm")</f>
        <v>July</v>
      </c>
      <c r="C477" s="14">
        <v>46225</v>
      </c>
      <c r="D477" s="2" t="s">
        <v>879</v>
      </c>
      <c r="E477" s="2" t="s">
        <v>27</v>
      </c>
      <c r="F477" s="2" t="s">
        <v>67</v>
      </c>
      <c r="G477" s="2" t="s">
        <v>17</v>
      </c>
      <c r="H477" s="2">
        <v>3</v>
      </c>
      <c r="I477" s="31">
        <v>328</v>
      </c>
      <c r="J477" s="3">
        <v>0.13</v>
      </c>
      <c r="K477" s="31">
        <v>856</v>
      </c>
      <c r="L477" s="2" t="s">
        <v>37</v>
      </c>
      <c r="M477" s="2" t="s">
        <v>30</v>
      </c>
      <c r="N477" s="35">
        <v>119</v>
      </c>
    </row>
    <row r="478" spans="1:14" x14ac:dyDescent="0.3">
      <c r="A478" s="4" t="s">
        <v>880</v>
      </c>
      <c r="B478" s="4" t="str">
        <f>TEXT(Table1[[#This Row],[Date]],"mmmm")</f>
        <v>November</v>
      </c>
      <c r="C478" s="14">
        <v>46341</v>
      </c>
      <c r="D478" s="2" t="s">
        <v>771</v>
      </c>
      <c r="E478" s="2" t="s">
        <v>40</v>
      </c>
      <c r="F478" s="2" t="s">
        <v>36</v>
      </c>
      <c r="G478" s="2" t="s">
        <v>17</v>
      </c>
      <c r="H478" s="2">
        <v>5</v>
      </c>
      <c r="I478" s="31">
        <v>223</v>
      </c>
      <c r="J478" s="3">
        <v>0.15</v>
      </c>
      <c r="K478" s="31">
        <v>947</v>
      </c>
      <c r="L478" s="2" t="s">
        <v>29</v>
      </c>
      <c r="M478" s="2" t="s">
        <v>54</v>
      </c>
      <c r="N478" s="35">
        <v>94</v>
      </c>
    </row>
    <row r="479" spans="1:14" x14ac:dyDescent="0.3">
      <c r="A479" s="4" t="s">
        <v>881</v>
      </c>
      <c r="B479" s="4" t="str">
        <f>TEXT(Table1[[#This Row],[Date]],"mmmm")</f>
        <v>December</v>
      </c>
      <c r="C479" s="14">
        <v>46368</v>
      </c>
      <c r="D479" s="2" t="s">
        <v>882</v>
      </c>
      <c r="E479" s="2" t="s">
        <v>22</v>
      </c>
      <c r="F479" s="2" t="s">
        <v>74</v>
      </c>
      <c r="G479" s="2" t="s">
        <v>17</v>
      </c>
      <c r="H479" s="2">
        <v>3</v>
      </c>
      <c r="I479" s="31">
        <v>395</v>
      </c>
      <c r="J479" s="3">
        <v>0</v>
      </c>
      <c r="K479" s="31">
        <v>1185</v>
      </c>
      <c r="L479" s="2" t="s">
        <v>37</v>
      </c>
      <c r="M479" s="2" t="s">
        <v>30</v>
      </c>
      <c r="N479" s="35">
        <v>355</v>
      </c>
    </row>
    <row r="480" spans="1:14" x14ac:dyDescent="0.3">
      <c r="A480" s="4" t="s">
        <v>883</v>
      </c>
      <c r="B480" s="4" t="str">
        <f>TEXT(Table1[[#This Row],[Date]],"mmmm")</f>
        <v>February</v>
      </c>
      <c r="C480" s="14">
        <v>46069</v>
      </c>
      <c r="D480" s="2" t="s">
        <v>727</v>
      </c>
      <c r="E480" s="2" t="s">
        <v>15</v>
      </c>
      <c r="F480" s="2" t="s">
        <v>36</v>
      </c>
      <c r="G480" s="2" t="s">
        <v>17</v>
      </c>
      <c r="H480" s="2">
        <v>2</v>
      </c>
      <c r="I480" s="31">
        <v>295</v>
      </c>
      <c r="J480" s="3">
        <v>0.06</v>
      </c>
      <c r="K480" s="31">
        <v>554</v>
      </c>
      <c r="L480" s="2" t="s">
        <v>37</v>
      </c>
      <c r="M480" s="2" t="s">
        <v>19</v>
      </c>
      <c r="N480" s="35">
        <v>155</v>
      </c>
    </row>
    <row r="481" spans="1:14" x14ac:dyDescent="0.3">
      <c r="A481" s="4" t="s">
        <v>884</v>
      </c>
      <c r="B481" s="4" t="str">
        <f>TEXT(Table1[[#This Row],[Date]],"mmmm")</f>
        <v>February</v>
      </c>
      <c r="C481" s="14">
        <v>46068</v>
      </c>
      <c r="D481" s="2" t="s">
        <v>885</v>
      </c>
      <c r="E481" s="2" t="s">
        <v>22</v>
      </c>
      <c r="F481" s="2" t="s">
        <v>74</v>
      </c>
      <c r="G481" s="2" t="s">
        <v>17</v>
      </c>
      <c r="H481" s="2">
        <v>5</v>
      </c>
      <c r="I481" s="31">
        <v>683</v>
      </c>
      <c r="J481" s="3">
        <v>7.0000000000000007E-2</v>
      </c>
      <c r="K481" s="31">
        <v>3175</v>
      </c>
      <c r="L481" s="2" t="s">
        <v>18</v>
      </c>
      <c r="M481" s="2" t="s">
        <v>54</v>
      </c>
      <c r="N481" s="35">
        <v>762</v>
      </c>
    </row>
    <row r="482" spans="1:14" x14ac:dyDescent="0.3">
      <c r="A482" s="4" t="s">
        <v>886</v>
      </c>
      <c r="B482" s="4" t="str">
        <f>TEXT(Table1[[#This Row],[Date]],"mmmm")</f>
        <v>July</v>
      </c>
      <c r="C482" s="14">
        <v>46209</v>
      </c>
      <c r="D482" s="2" t="s">
        <v>120</v>
      </c>
      <c r="E482" s="2" t="s">
        <v>40</v>
      </c>
      <c r="F482" s="2" t="s">
        <v>16</v>
      </c>
      <c r="G482" s="2" t="s">
        <v>17</v>
      </c>
      <c r="H482" s="2">
        <v>2</v>
      </c>
      <c r="I482" s="31">
        <v>155</v>
      </c>
      <c r="J482" s="3">
        <v>0.12</v>
      </c>
      <c r="K482" s="31">
        <v>272</v>
      </c>
      <c r="L482" s="2" t="s">
        <v>37</v>
      </c>
      <c r="M482" s="2" t="s">
        <v>19</v>
      </c>
      <c r="N482" s="35">
        <v>68</v>
      </c>
    </row>
    <row r="483" spans="1:14" x14ac:dyDescent="0.3">
      <c r="A483" s="4" t="s">
        <v>887</v>
      </c>
      <c r="B483" s="4" t="str">
        <f>TEXT(Table1[[#This Row],[Date]],"mmmm")</f>
        <v>March</v>
      </c>
      <c r="C483" s="14">
        <v>46100</v>
      </c>
      <c r="D483" s="2" t="s">
        <v>98</v>
      </c>
      <c r="E483" s="2" t="s">
        <v>27</v>
      </c>
      <c r="F483" s="2" t="s">
        <v>28</v>
      </c>
      <c r="G483" s="2" t="s">
        <v>17</v>
      </c>
      <c r="H483" s="2">
        <v>4</v>
      </c>
      <c r="I483" s="31">
        <v>166</v>
      </c>
      <c r="J483" s="3">
        <v>0.13</v>
      </c>
      <c r="K483" s="31">
        <v>577</v>
      </c>
      <c r="L483" s="2" t="s">
        <v>29</v>
      </c>
      <c r="M483" s="2" t="s">
        <v>19</v>
      </c>
      <c r="N483" s="35">
        <v>115</v>
      </c>
    </row>
    <row r="484" spans="1:14" x14ac:dyDescent="0.3">
      <c r="A484" s="4" t="s">
        <v>888</v>
      </c>
      <c r="B484" s="4" t="str">
        <f>TEXT(Table1[[#This Row],[Date]],"mmmm")</f>
        <v>May</v>
      </c>
      <c r="C484" s="14">
        <v>46154</v>
      </c>
      <c r="D484" s="2" t="s">
        <v>889</v>
      </c>
      <c r="E484" s="2" t="s">
        <v>22</v>
      </c>
      <c r="F484" s="2" t="s">
        <v>41</v>
      </c>
      <c r="G484" s="2" t="s">
        <v>17</v>
      </c>
      <c r="H484" s="2">
        <v>4</v>
      </c>
      <c r="I484" s="31">
        <v>177</v>
      </c>
      <c r="J484" s="3">
        <v>0.1</v>
      </c>
      <c r="K484" s="31">
        <v>637</v>
      </c>
      <c r="L484" s="2" t="s">
        <v>37</v>
      </c>
      <c r="M484" s="2" t="s">
        <v>54</v>
      </c>
      <c r="N484" s="35">
        <v>108</v>
      </c>
    </row>
    <row r="485" spans="1:14" x14ac:dyDescent="0.3">
      <c r="A485" s="4" t="s">
        <v>890</v>
      </c>
      <c r="B485" s="4" t="str">
        <f>TEXT(Table1[[#This Row],[Date]],"mmmm")</f>
        <v>August</v>
      </c>
      <c r="C485" s="14">
        <v>46235</v>
      </c>
      <c r="D485" s="2" t="s">
        <v>470</v>
      </c>
      <c r="E485" s="2" t="s">
        <v>27</v>
      </c>
      <c r="F485" s="2" t="s">
        <v>41</v>
      </c>
      <c r="G485" s="2" t="s">
        <v>17</v>
      </c>
      <c r="H485" s="2">
        <v>3</v>
      </c>
      <c r="I485" s="31">
        <v>246</v>
      </c>
      <c r="J485" s="3">
        <v>0.03</v>
      </c>
      <c r="K485" s="31">
        <v>715</v>
      </c>
      <c r="L485" s="2" t="s">
        <v>18</v>
      </c>
      <c r="M485" s="2" t="s">
        <v>19</v>
      </c>
      <c r="N485" s="35">
        <v>178</v>
      </c>
    </row>
    <row r="486" spans="1:14" x14ac:dyDescent="0.3">
      <c r="A486" s="4" t="s">
        <v>891</v>
      </c>
      <c r="B486" s="4" t="str">
        <f>TEXT(Table1[[#This Row],[Date]],"mmmm")</f>
        <v>May</v>
      </c>
      <c r="C486" s="14">
        <v>46158</v>
      </c>
      <c r="D486" s="2" t="s">
        <v>892</v>
      </c>
      <c r="E486" s="2" t="s">
        <v>40</v>
      </c>
      <c r="F486" s="2" t="s">
        <v>67</v>
      </c>
      <c r="G486" s="2" t="s">
        <v>17</v>
      </c>
      <c r="H486" s="2">
        <v>5</v>
      </c>
      <c r="I486" s="31">
        <v>175</v>
      </c>
      <c r="J486" s="3">
        <v>0.02</v>
      </c>
      <c r="K486" s="31">
        <v>857</v>
      </c>
      <c r="L486" s="2" t="s">
        <v>29</v>
      </c>
      <c r="M486" s="2" t="s">
        <v>30</v>
      </c>
      <c r="N486" s="35">
        <v>102</v>
      </c>
    </row>
    <row r="487" spans="1:14" x14ac:dyDescent="0.3">
      <c r="A487" s="4" t="s">
        <v>893</v>
      </c>
      <c r="B487" s="4" t="str">
        <f>TEXT(Table1[[#This Row],[Date]],"mmmm")</f>
        <v>June</v>
      </c>
      <c r="C487" s="14">
        <v>46194</v>
      </c>
      <c r="D487" s="2" t="s">
        <v>809</v>
      </c>
      <c r="E487" s="2" t="s">
        <v>15</v>
      </c>
      <c r="F487" s="2" t="s">
        <v>16</v>
      </c>
      <c r="G487" s="2" t="s">
        <v>17</v>
      </c>
      <c r="H487" s="2">
        <v>1</v>
      </c>
      <c r="I487" s="31">
        <v>527</v>
      </c>
      <c r="J487" s="3">
        <v>0.1</v>
      </c>
      <c r="K487" s="31">
        <v>474</v>
      </c>
      <c r="L487" s="2" t="s">
        <v>18</v>
      </c>
      <c r="M487" s="2" t="s">
        <v>19</v>
      </c>
      <c r="N487" s="35">
        <v>90</v>
      </c>
    </row>
    <row r="488" spans="1:14" x14ac:dyDescent="0.3">
      <c r="A488" s="4" t="s">
        <v>894</v>
      </c>
      <c r="B488" s="4" t="str">
        <f>TEXT(Table1[[#This Row],[Date]],"mmmm")</f>
        <v>December</v>
      </c>
      <c r="C488" s="14">
        <v>46368</v>
      </c>
      <c r="D488" s="2" t="s">
        <v>895</v>
      </c>
      <c r="E488" s="2" t="s">
        <v>70</v>
      </c>
      <c r="F488" s="2" t="s">
        <v>67</v>
      </c>
      <c r="G488" s="2" t="s">
        <v>17</v>
      </c>
      <c r="H488" s="2">
        <v>5</v>
      </c>
      <c r="I488" s="31">
        <v>306</v>
      </c>
      <c r="J488" s="3">
        <v>0.13</v>
      </c>
      <c r="K488" s="31">
        <v>1331</v>
      </c>
      <c r="L488" s="2" t="s">
        <v>37</v>
      </c>
      <c r="M488" s="2" t="s">
        <v>54</v>
      </c>
      <c r="N488" s="35">
        <v>266</v>
      </c>
    </row>
    <row r="489" spans="1:14" x14ac:dyDescent="0.3">
      <c r="A489" s="4" t="s">
        <v>896</v>
      </c>
      <c r="B489" s="4" t="str">
        <f>TEXT(Table1[[#This Row],[Date]],"mmmm")</f>
        <v>January</v>
      </c>
      <c r="C489" s="14">
        <v>46034</v>
      </c>
      <c r="D489" s="2" t="s">
        <v>144</v>
      </c>
      <c r="E489" s="2" t="s">
        <v>15</v>
      </c>
      <c r="F489" s="2" t="s">
        <v>41</v>
      </c>
      <c r="G489" s="2" t="s">
        <v>17</v>
      </c>
      <c r="H489" s="2">
        <v>5</v>
      </c>
      <c r="I489" s="31">
        <v>390</v>
      </c>
      <c r="J489" s="3">
        <v>0.09</v>
      </c>
      <c r="K489" s="31">
        <v>1774</v>
      </c>
      <c r="L489" s="2" t="s">
        <v>24</v>
      </c>
      <c r="M489" s="2" t="s">
        <v>19</v>
      </c>
      <c r="N489" s="35">
        <v>283</v>
      </c>
    </row>
    <row r="490" spans="1:14" x14ac:dyDescent="0.3">
      <c r="A490" s="4" t="s">
        <v>897</v>
      </c>
      <c r="B490" s="4" t="str">
        <f>TEXT(Table1[[#This Row],[Date]],"mmmm")</f>
        <v>August</v>
      </c>
      <c r="C490" s="14">
        <v>46248</v>
      </c>
      <c r="D490" s="2" t="s">
        <v>898</v>
      </c>
      <c r="E490" s="2" t="s">
        <v>22</v>
      </c>
      <c r="F490" s="2" t="s">
        <v>33</v>
      </c>
      <c r="G490" s="2" t="s">
        <v>17</v>
      </c>
      <c r="H490" s="2">
        <v>2</v>
      </c>
      <c r="I490" s="31">
        <v>786</v>
      </c>
      <c r="J490" s="3">
        <v>0.04</v>
      </c>
      <c r="K490" s="31">
        <v>1509</v>
      </c>
      <c r="L490" s="2" t="s">
        <v>24</v>
      </c>
      <c r="M490" s="2" t="s">
        <v>30</v>
      </c>
      <c r="N490" s="35">
        <v>286</v>
      </c>
    </row>
    <row r="491" spans="1:14" x14ac:dyDescent="0.3">
      <c r="A491" s="4" t="s">
        <v>899</v>
      </c>
      <c r="B491" s="4" t="str">
        <f>TEXT(Table1[[#This Row],[Date]],"mmmm")</f>
        <v>October</v>
      </c>
      <c r="C491" s="14">
        <v>46313</v>
      </c>
      <c r="D491" s="2" t="s">
        <v>900</v>
      </c>
      <c r="E491" s="2" t="s">
        <v>22</v>
      </c>
      <c r="F491" s="2" t="s">
        <v>23</v>
      </c>
      <c r="G491" s="2" t="s">
        <v>17</v>
      </c>
      <c r="H491" s="2">
        <v>1</v>
      </c>
      <c r="I491" s="31">
        <v>193</v>
      </c>
      <c r="J491" s="3">
        <v>0.1</v>
      </c>
      <c r="K491" s="31">
        <v>173</v>
      </c>
      <c r="L491" s="2" t="s">
        <v>24</v>
      </c>
      <c r="M491" s="2" t="s">
        <v>54</v>
      </c>
      <c r="N491" s="35">
        <v>46</v>
      </c>
    </row>
    <row r="492" spans="1:14" x14ac:dyDescent="0.3">
      <c r="A492" s="4" t="s">
        <v>901</v>
      </c>
      <c r="B492" s="4" t="str">
        <f>TEXT(Table1[[#This Row],[Date]],"mmmm")</f>
        <v>November</v>
      </c>
      <c r="C492" s="14">
        <v>46333</v>
      </c>
      <c r="D492" s="2" t="s">
        <v>231</v>
      </c>
      <c r="E492" s="2" t="s">
        <v>40</v>
      </c>
      <c r="F492" s="2" t="s">
        <v>23</v>
      </c>
      <c r="G492" s="2" t="s">
        <v>17</v>
      </c>
      <c r="H492" s="2">
        <v>4</v>
      </c>
      <c r="I492" s="31">
        <v>562</v>
      </c>
      <c r="J492" s="3">
        <v>0.17</v>
      </c>
      <c r="K492" s="31">
        <v>1865</v>
      </c>
      <c r="L492" s="2" t="s">
        <v>37</v>
      </c>
      <c r="M492" s="2" t="s">
        <v>54</v>
      </c>
      <c r="N492" s="35">
        <v>354</v>
      </c>
    </row>
    <row r="493" spans="1:14" x14ac:dyDescent="0.3">
      <c r="A493" s="4" t="s">
        <v>902</v>
      </c>
      <c r="B493" s="4" t="str">
        <f>TEXT(Table1[[#This Row],[Date]],"mmmm")</f>
        <v>July</v>
      </c>
      <c r="C493" s="14">
        <v>46214</v>
      </c>
      <c r="D493" s="2" t="s">
        <v>116</v>
      </c>
      <c r="E493" s="2" t="s">
        <v>70</v>
      </c>
      <c r="F493" s="2" t="s">
        <v>71</v>
      </c>
      <c r="G493" s="2" t="s">
        <v>17</v>
      </c>
      <c r="H493" s="2">
        <v>2</v>
      </c>
      <c r="I493" s="31">
        <v>321</v>
      </c>
      <c r="J493" s="3">
        <v>0</v>
      </c>
      <c r="K493" s="31">
        <v>642</v>
      </c>
      <c r="L493" s="2" t="s">
        <v>37</v>
      </c>
      <c r="M493" s="2" t="s">
        <v>54</v>
      </c>
      <c r="N493" s="35">
        <v>211</v>
      </c>
    </row>
    <row r="494" spans="1:14" x14ac:dyDescent="0.3">
      <c r="A494" s="4" t="s">
        <v>903</v>
      </c>
      <c r="B494" s="4" t="str">
        <f>TEXT(Table1[[#This Row],[Date]],"mmmm")</f>
        <v>July</v>
      </c>
      <c r="C494" s="14">
        <v>46206</v>
      </c>
      <c r="D494" s="2" t="s">
        <v>535</v>
      </c>
      <c r="E494" s="2" t="s">
        <v>27</v>
      </c>
      <c r="F494" s="2" t="s">
        <v>71</v>
      </c>
      <c r="G494" s="2" t="s">
        <v>17</v>
      </c>
      <c r="H494" s="2">
        <v>5</v>
      </c>
      <c r="I494" s="31">
        <v>564</v>
      </c>
      <c r="J494" s="3">
        <v>0.02</v>
      </c>
      <c r="K494" s="31">
        <v>2763</v>
      </c>
      <c r="L494" s="2" t="s">
        <v>29</v>
      </c>
      <c r="M494" s="2" t="s">
        <v>19</v>
      </c>
      <c r="N494" s="35">
        <v>414</v>
      </c>
    </row>
    <row r="495" spans="1:14" x14ac:dyDescent="0.3">
      <c r="A495" s="4" t="s">
        <v>904</v>
      </c>
      <c r="B495" s="4" t="str">
        <f>TEXT(Table1[[#This Row],[Date]],"mmmm")</f>
        <v>April</v>
      </c>
      <c r="C495" s="14">
        <v>46120</v>
      </c>
      <c r="D495" s="2" t="s">
        <v>905</v>
      </c>
      <c r="E495" s="2" t="s">
        <v>70</v>
      </c>
      <c r="F495" s="2" t="s">
        <v>53</v>
      </c>
      <c r="G495" s="2" t="s">
        <v>17</v>
      </c>
      <c r="H495" s="2">
        <v>1</v>
      </c>
      <c r="I495" s="31">
        <v>197</v>
      </c>
      <c r="J495" s="3">
        <v>0.05</v>
      </c>
      <c r="K495" s="31">
        <v>187</v>
      </c>
      <c r="L495" s="2" t="s">
        <v>24</v>
      </c>
      <c r="M495" s="2" t="s">
        <v>19</v>
      </c>
      <c r="N495" s="35">
        <v>46</v>
      </c>
    </row>
    <row r="496" spans="1:14" x14ac:dyDescent="0.3">
      <c r="A496" s="4" t="s">
        <v>906</v>
      </c>
      <c r="B496" s="4" t="str">
        <f>TEXT(Table1[[#This Row],[Date]],"mmmm")</f>
        <v>September</v>
      </c>
      <c r="C496" s="14">
        <v>46272</v>
      </c>
      <c r="D496" s="2" t="s">
        <v>907</v>
      </c>
      <c r="E496" s="2" t="s">
        <v>70</v>
      </c>
      <c r="F496" s="2" t="s">
        <v>33</v>
      </c>
      <c r="G496" s="2" t="s">
        <v>17</v>
      </c>
      <c r="H496" s="2">
        <v>4</v>
      </c>
      <c r="I496" s="31">
        <v>242</v>
      </c>
      <c r="J496" s="3">
        <v>0.03</v>
      </c>
      <c r="K496" s="31">
        <v>938</v>
      </c>
      <c r="L496" s="2" t="s">
        <v>18</v>
      </c>
      <c r="M496" s="2" t="s">
        <v>19</v>
      </c>
      <c r="N496" s="35">
        <v>196</v>
      </c>
    </row>
    <row r="497" spans="1:14" x14ac:dyDescent="0.3">
      <c r="A497" s="4" t="s">
        <v>908</v>
      </c>
      <c r="B497" s="4" t="str">
        <f>TEXT(Table1[[#This Row],[Date]],"mmmm")</f>
        <v>February</v>
      </c>
      <c r="C497" s="14">
        <v>46074</v>
      </c>
      <c r="D497" s="2" t="s">
        <v>909</v>
      </c>
      <c r="E497" s="2" t="s">
        <v>27</v>
      </c>
      <c r="F497" s="2" t="s">
        <v>33</v>
      </c>
      <c r="G497" s="2" t="s">
        <v>17</v>
      </c>
      <c r="H497" s="2">
        <v>5</v>
      </c>
      <c r="I497" s="31">
        <v>468</v>
      </c>
      <c r="J497" s="3">
        <v>0.16</v>
      </c>
      <c r="K497" s="31">
        <v>1965</v>
      </c>
      <c r="L497" s="2" t="s">
        <v>18</v>
      </c>
      <c r="M497" s="2" t="s">
        <v>30</v>
      </c>
      <c r="N497" s="35">
        <v>196</v>
      </c>
    </row>
    <row r="498" spans="1:14" x14ac:dyDescent="0.3">
      <c r="A498" s="4" t="s">
        <v>910</v>
      </c>
      <c r="B498" s="4" t="str">
        <f>TEXT(Table1[[#This Row],[Date]],"mmmm")</f>
        <v>February</v>
      </c>
      <c r="C498" s="14">
        <v>46075</v>
      </c>
      <c r="D498" s="2" t="s">
        <v>828</v>
      </c>
      <c r="E498" s="2" t="s">
        <v>27</v>
      </c>
      <c r="F498" s="2" t="s">
        <v>74</v>
      </c>
      <c r="G498" s="2" t="s">
        <v>17</v>
      </c>
      <c r="H498" s="2">
        <v>4</v>
      </c>
      <c r="I498" s="31">
        <v>716</v>
      </c>
      <c r="J498" s="3">
        <v>0.14000000000000001</v>
      </c>
      <c r="K498" s="31">
        <v>2463</v>
      </c>
      <c r="L498" s="2" t="s">
        <v>29</v>
      </c>
      <c r="M498" s="2" t="s">
        <v>30</v>
      </c>
      <c r="N498" s="35">
        <v>862</v>
      </c>
    </row>
    <row r="499" spans="1:14" x14ac:dyDescent="0.3">
      <c r="A499" s="4" t="s">
        <v>911</v>
      </c>
      <c r="B499" s="4" t="str">
        <f>TEXT(Table1[[#This Row],[Date]],"mmmm")</f>
        <v>November</v>
      </c>
      <c r="C499" s="14">
        <v>46337</v>
      </c>
      <c r="D499" s="2" t="s">
        <v>912</v>
      </c>
      <c r="E499" s="2" t="s">
        <v>27</v>
      </c>
      <c r="F499" s="2" t="s">
        <v>23</v>
      </c>
      <c r="G499" s="2" t="s">
        <v>17</v>
      </c>
      <c r="H499" s="2">
        <v>2</v>
      </c>
      <c r="I499" s="31">
        <v>409</v>
      </c>
      <c r="J499" s="3">
        <v>0.02</v>
      </c>
      <c r="K499" s="31">
        <v>801</v>
      </c>
      <c r="L499" s="2" t="s">
        <v>18</v>
      </c>
      <c r="M499" s="2" t="s">
        <v>30</v>
      </c>
      <c r="N499" s="35">
        <v>144</v>
      </c>
    </row>
    <row r="500" spans="1:14" x14ac:dyDescent="0.3">
      <c r="A500" s="4" t="s">
        <v>913</v>
      </c>
      <c r="B500" s="4" t="str">
        <f>TEXT(Table1[[#This Row],[Date]],"mmmm")</f>
        <v>August</v>
      </c>
      <c r="C500" s="14">
        <v>46257</v>
      </c>
      <c r="D500" s="2" t="s">
        <v>914</v>
      </c>
      <c r="E500" s="2" t="s">
        <v>22</v>
      </c>
      <c r="F500" s="2" t="s">
        <v>41</v>
      </c>
      <c r="G500" s="2" t="s">
        <v>17</v>
      </c>
      <c r="H500" s="2">
        <v>4</v>
      </c>
      <c r="I500" s="31">
        <v>606</v>
      </c>
      <c r="J500" s="3">
        <v>0.14000000000000001</v>
      </c>
      <c r="K500" s="31">
        <v>2084</v>
      </c>
      <c r="L500" s="2" t="s">
        <v>18</v>
      </c>
      <c r="M500" s="2" t="s">
        <v>19</v>
      </c>
      <c r="N500" s="35">
        <v>604</v>
      </c>
    </row>
    <row r="501" spans="1:14" x14ac:dyDescent="0.3">
      <c r="A501" s="7" t="s">
        <v>915</v>
      </c>
      <c r="B501" s="4" t="str">
        <f>TEXT(Table1[[#This Row],[Date]],"mmmm")</f>
        <v>September</v>
      </c>
      <c r="C501" s="15">
        <v>46277</v>
      </c>
      <c r="D501" s="8" t="s">
        <v>895</v>
      </c>
      <c r="E501" s="8" t="s">
        <v>15</v>
      </c>
      <c r="F501" s="8" t="s">
        <v>53</v>
      </c>
      <c r="G501" s="8" t="s">
        <v>17</v>
      </c>
      <c r="H501" s="8">
        <v>3</v>
      </c>
      <c r="I501" s="32">
        <v>323</v>
      </c>
      <c r="J501" s="9">
        <v>7.0000000000000007E-2</v>
      </c>
      <c r="K501" s="32">
        <v>901</v>
      </c>
      <c r="L501" s="8" t="s">
        <v>29</v>
      </c>
      <c r="M501" s="8" t="s">
        <v>54</v>
      </c>
      <c r="N501" s="36">
        <v>144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85834-E47A-4C3D-A929-962704FF8094}">
  <dimension ref="A3:U31"/>
  <sheetViews>
    <sheetView topLeftCell="I7" workbookViewId="0">
      <selection activeCell="R17" sqref="R17"/>
    </sheetView>
  </sheetViews>
  <sheetFormatPr defaultRowHeight="14.4" x14ac:dyDescent="0.3"/>
  <cols>
    <col min="1" max="1" width="12.5546875" bestFit="1" customWidth="1"/>
    <col min="2" max="2" width="14.44140625" bestFit="1" customWidth="1"/>
    <col min="3" max="3" width="14.88671875" bestFit="1" customWidth="1"/>
    <col min="4" max="4" width="12.109375" bestFit="1" customWidth="1"/>
    <col min="6" max="6" width="12.5546875" bestFit="1" customWidth="1"/>
    <col min="7" max="7" width="14.44140625" bestFit="1" customWidth="1"/>
    <col min="8" max="8" width="12.109375" bestFit="1" customWidth="1"/>
    <col min="9" max="10" width="12.5546875" bestFit="1" customWidth="1"/>
    <col min="11" max="11" width="14.44140625" bestFit="1" customWidth="1"/>
    <col min="13" max="13" width="12.5546875" bestFit="1" customWidth="1"/>
    <col min="14" max="14" width="14.44140625" bestFit="1" customWidth="1"/>
    <col min="16" max="16" width="12.5546875" bestFit="1" customWidth="1"/>
    <col min="17" max="18" width="14.44140625" bestFit="1" customWidth="1"/>
    <col min="19" max="19" width="12.5546875" bestFit="1" customWidth="1"/>
  </cols>
  <sheetData>
    <row r="3" spans="1:21" x14ac:dyDescent="0.3">
      <c r="A3" s="11" t="s">
        <v>919</v>
      </c>
      <c r="B3" t="s">
        <v>921</v>
      </c>
      <c r="C3" t="s">
        <v>922</v>
      </c>
      <c r="D3" t="s">
        <v>923</v>
      </c>
      <c r="M3" s="11" t="s">
        <v>919</v>
      </c>
      <c r="N3" t="s">
        <v>921</v>
      </c>
    </row>
    <row r="4" spans="1:21" x14ac:dyDescent="0.3">
      <c r="A4" s="12" t="s">
        <v>17</v>
      </c>
      <c r="B4">
        <v>593996</v>
      </c>
      <c r="C4">
        <v>1509</v>
      </c>
      <c r="D4">
        <v>132615</v>
      </c>
      <c r="M4" s="12" t="s">
        <v>41</v>
      </c>
      <c r="N4" s="33">
        <v>61772</v>
      </c>
      <c r="P4" s="11" t="s">
        <v>919</v>
      </c>
      <c r="Q4" t="s">
        <v>921</v>
      </c>
      <c r="S4" s="17"/>
      <c r="T4" s="18"/>
      <c r="U4" s="19"/>
    </row>
    <row r="5" spans="1:21" x14ac:dyDescent="0.3">
      <c r="M5" s="12" t="s">
        <v>71</v>
      </c>
      <c r="N5" s="33">
        <v>47314</v>
      </c>
      <c r="P5" s="12" t="s">
        <v>30</v>
      </c>
      <c r="Q5" s="33">
        <v>183026</v>
      </c>
      <c r="S5" s="20"/>
      <c r="T5" s="21"/>
      <c r="U5" s="22"/>
    </row>
    <row r="6" spans="1:21" x14ac:dyDescent="0.3">
      <c r="M6" s="12" t="s">
        <v>16</v>
      </c>
      <c r="N6" s="33">
        <v>63886</v>
      </c>
      <c r="P6" s="12" t="s">
        <v>19</v>
      </c>
      <c r="Q6" s="33">
        <v>226991</v>
      </c>
      <c r="S6" s="20"/>
      <c r="T6" s="21"/>
      <c r="U6" s="22"/>
    </row>
    <row r="7" spans="1:21" x14ac:dyDescent="0.3">
      <c r="M7" s="12" t="s">
        <v>74</v>
      </c>
      <c r="N7" s="33">
        <v>53369</v>
      </c>
      <c r="P7" s="12" t="s">
        <v>54</v>
      </c>
      <c r="Q7" s="33">
        <v>183979</v>
      </c>
      <c r="S7" s="20"/>
      <c r="T7" s="21"/>
      <c r="U7" s="22"/>
    </row>
    <row r="8" spans="1:21" x14ac:dyDescent="0.3">
      <c r="A8" s="11" t="s">
        <v>919</v>
      </c>
      <c r="B8" t="s">
        <v>923</v>
      </c>
      <c r="M8" s="12" t="s">
        <v>36</v>
      </c>
      <c r="N8" s="33">
        <v>61255</v>
      </c>
      <c r="P8" s="12" t="s">
        <v>920</v>
      </c>
      <c r="Q8">
        <v>593996</v>
      </c>
      <c r="S8" s="20"/>
      <c r="T8" s="21"/>
      <c r="U8" s="22"/>
    </row>
    <row r="9" spans="1:21" x14ac:dyDescent="0.3">
      <c r="A9" s="12" t="s">
        <v>23</v>
      </c>
      <c r="B9">
        <v>12706</v>
      </c>
      <c r="J9" s="11" t="s">
        <v>919</v>
      </c>
      <c r="K9" t="s">
        <v>921</v>
      </c>
      <c r="M9" s="12" t="s">
        <v>28</v>
      </c>
      <c r="N9" s="33">
        <v>44699</v>
      </c>
      <c r="S9" s="20"/>
      <c r="T9" s="21"/>
      <c r="U9" s="22"/>
    </row>
    <row r="10" spans="1:21" x14ac:dyDescent="0.3">
      <c r="A10" s="12" t="s">
        <v>920</v>
      </c>
      <c r="B10">
        <v>12706</v>
      </c>
      <c r="J10" s="12" t="s">
        <v>40</v>
      </c>
      <c r="K10" s="33">
        <v>124690</v>
      </c>
      <c r="M10" s="12" t="s">
        <v>53</v>
      </c>
      <c r="N10" s="33">
        <v>38547</v>
      </c>
      <c r="S10" s="20"/>
      <c r="T10" s="21"/>
      <c r="U10" s="22"/>
    </row>
    <row r="11" spans="1:21" x14ac:dyDescent="0.3">
      <c r="J11" s="12" t="s">
        <v>22</v>
      </c>
      <c r="K11" s="33">
        <v>123499</v>
      </c>
      <c r="M11" s="12" t="s">
        <v>23</v>
      </c>
      <c r="N11" s="33">
        <v>54384</v>
      </c>
      <c r="S11" s="20"/>
      <c r="T11" s="21"/>
      <c r="U11" s="22"/>
    </row>
    <row r="12" spans="1:21" x14ac:dyDescent="0.3">
      <c r="F12" s="11" t="s">
        <v>919</v>
      </c>
      <c r="G12" t="s">
        <v>921</v>
      </c>
      <c r="J12" s="12" t="s">
        <v>15</v>
      </c>
      <c r="K12" s="33">
        <v>123520</v>
      </c>
      <c r="M12" s="12" t="s">
        <v>33</v>
      </c>
      <c r="N12" s="33">
        <v>59145</v>
      </c>
      <c r="S12" s="20"/>
      <c r="T12" s="21"/>
      <c r="U12" s="22"/>
    </row>
    <row r="13" spans="1:21" x14ac:dyDescent="0.3">
      <c r="F13" s="12" t="s">
        <v>29</v>
      </c>
      <c r="G13">
        <v>147431</v>
      </c>
      <c r="J13" s="12" t="s">
        <v>70</v>
      </c>
      <c r="K13" s="33">
        <v>96317</v>
      </c>
      <c r="M13" s="12" t="s">
        <v>920</v>
      </c>
      <c r="N13">
        <v>484371</v>
      </c>
      <c r="S13" s="20"/>
      <c r="T13" s="21"/>
      <c r="U13" s="22"/>
    </row>
    <row r="14" spans="1:21" x14ac:dyDescent="0.3">
      <c r="F14" s="12" t="s">
        <v>37</v>
      </c>
      <c r="G14">
        <v>146388</v>
      </c>
      <c r="J14" s="12" t="s">
        <v>27</v>
      </c>
      <c r="K14" s="33">
        <v>125970</v>
      </c>
      <c r="S14" s="20"/>
      <c r="T14" s="21"/>
      <c r="U14" s="22"/>
    </row>
    <row r="15" spans="1:21" x14ac:dyDescent="0.3">
      <c r="F15" s="12" t="s">
        <v>18</v>
      </c>
      <c r="G15">
        <v>158000</v>
      </c>
      <c r="J15" s="12" t="s">
        <v>920</v>
      </c>
      <c r="K15">
        <v>593996</v>
      </c>
      <c r="S15" s="20"/>
      <c r="T15" s="21"/>
      <c r="U15" s="22"/>
    </row>
    <row r="16" spans="1:21" x14ac:dyDescent="0.3">
      <c r="F16" s="12" t="s">
        <v>24</v>
      </c>
      <c r="G16">
        <v>142177</v>
      </c>
      <c r="S16" s="20"/>
      <c r="T16" s="21"/>
      <c r="U16" s="22"/>
    </row>
    <row r="17" spans="6:21" x14ac:dyDescent="0.3">
      <c r="F17" s="12" t="s">
        <v>920</v>
      </c>
      <c r="G17">
        <v>593996</v>
      </c>
      <c r="S17" s="20"/>
      <c r="T17" s="21"/>
      <c r="U17" s="22"/>
    </row>
    <row r="18" spans="6:21" x14ac:dyDescent="0.3">
      <c r="M18" s="11" t="s">
        <v>919</v>
      </c>
      <c r="N18" t="s">
        <v>921</v>
      </c>
      <c r="S18" s="20"/>
      <c r="T18" s="21"/>
      <c r="U18" s="22"/>
    </row>
    <row r="19" spans="6:21" x14ac:dyDescent="0.3">
      <c r="M19" s="12" t="s">
        <v>925</v>
      </c>
      <c r="N19" s="33">
        <v>35537</v>
      </c>
      <c r="S19" s="20"/>
      <c r="T19" s="21"/>
      <c r="U19" s="22"/>
    </row>
    <row r="20" spans="6:21" x14ac:dyDescent="0.3">
      <c r="M20" s="12" t="s">
        <v>926</v>
      </c>
      <c r="N20" s="33">
        <v>48042</v>
      </c>
      <c r="S20" s="20"/>
      <c r="T20" s="21"/>
      <c r="U20" s="22"/>
    </row>
    <row r="21" spans="6:21" x14ac:dyDescent="0.3">
      <c r="M21" s="12" t="s">
        <v>927</v>
      </c>
      <c r="N21" s="33">
        <v>46146</v>
      </c>
      <c r="S21" s="23"/>
      <c r="T21" s="24"/>
      <c r="U21" s="25"/>
    </row>
    <row r="22" spans="6:21" x14ac:dyDescent="0.3">
      <c r="M22" s="12" t="s">
        <v>928</v>
      </c>
      <c r="N22" s="33">
        <v>46602</v>
      </c>
    </row>
    <row r="23" spans="6:21" x14ac:dyDescent="0.3">
      <c r="M23" s="12" t="s">
        <v>929</v>
      </c>
      <c r="N23" s="33">
        <v>63345</v>
      </c>
    </row>
    <row r="24" spans="6:21" x14ac:dyDescent="0.3">
      <c r="M24" s="12" t="s">
        <v>930</v>
      </c>
      <c r="N24" s="33">
        <v>44157</v>
      </c>
    </row>
    <row r="25" spans="6:21" x14ac:dyDescent="0.3">
      <c r="M25" s="12" t="s">
        <v>931</v>
      </c>
      <c r="N25" s="33">
        <v>49495</v>
      </c>
    </row>
    <row r="26" spans="6:21" x14ac:dyDescent="0.3">
      <c r="M26" s="12" t="s">
        <v>932</v>
      </c>
      <c r="N26" s="33">
        <v>56730</v>
      </c>
    </row>
    <row r="27" spans="6:21" x14ac:dyDescent="0.3">
      <c r="M27" s="12" t="s">
        <v>933</v>
      </c>
      <c r="N27" s="33">
        <v>52895</v>
      </c>
    </row>
    <row r="28" spans="6:21" x14ac:dyDescent="0.3">
      <c r="M28" s="12" t="s">
        <v>934</v>
      </c>
      <c r="N28" s="33">
        <v>40412</v>
      </c>
    </row>
    <row r="29" spans="6:21" x14ac:dyDescent="0.3">
      <c r="M29" s="12" t="s">
        <v>935</v>
      </c>
      <c r="N29" s="33">
        <v>64990</v>
      </c>
    </row>
    <row r="30" spans="6:21" x14ac:dyDescent="0.3">
      <c r="M30" s="12" t="s">
        <v>936</v>
      </c>
      <c r="N30" s="33">
        <v>45645</v>
      </c>
    </row>
    <row r="31" spans="6:21" x14ac:dyDescent="0.3">
      <c r="M31" s="12" t="s">
        <v>920</v>
      </c>
      <c r="N31">
        <v>593996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087E-3420-41A1-82C5-BB9C7510C0C1}">
  <dimension ref="F3:G4"/>
  <sheetViews>
    <sheetView showGridLines="0" showRowColHeaders="0" tabSelected="1" topLeftCell="A4" zoomScale="98" zoomScaleNormal="98" workbookViewId="0">
      <selection activeCell="U3" sqref="U3"/>
    </sheetView>
  </sheetViews>
  <sheetFormatPr defaultRowHeight="14.4" x14ac:dyDescent="0.3"/>
  <cols>
    <col min="1" max="16384" width="8.88671875" style="26"/>
  </cols>
  <sheetData>
    <row r="3" spans="6:7" x14ac:dyDescent="0.3">
      <c r="G3" s="27"/>
    </row>
    <row r="4" spans="6:7" ht="23.4" x14ac:dyDescent="0.45">
      <c r="F4"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22E4-8140-4155-848C-530B820BF7A9}">
  <dimension ref="A2:B24"/>
  <sheetViews>
    <sheetView showGridLines="0" workbookViewId="0">
      <selection activeCell="I14" sqref="I14"/>
    </sheetView>
  </sheetViews>
  <sheetFormatPr defaultRowHeight="14.4" x14ac:dyDescent="0.3"/>
  <sheetData>
    <row r="2" spans="1:2" ht="18" x14ac:dyDescent="0.3">
      <c r="A2" s="29"/>
      <c r="B2" s="29"/>
    </row>
    <row r="4" spans="1:2" x14ac:dyDescent="0.3">
      <c r="A4" s="10"/>
      <c r="B4" s="10"/>
    </row>
    <row r="6" spans="1:2" ht="18" x14ac:dyDescent="0.3">
      <c r="A6" s="29"/>
      <c r="B6" s="29"/>
    </row>
    <row r="8" spans="1:2" x14ac:dyDescent="0.3">
      <c r="B8" s="10"/>
    </row>
    <row r="10" spans="1:2" ht="18" x14ac:dyDescent="0.3">
      <c r="B10" s="29"/>
    </row>
    <row r="12" spans="1:2" x14ac:dyDescent="0.3">
      <c r="B12" s="10"/>
    </row>
    <row r="14" spans="1:2" ht="18" x14ac:dyDescent="0.3">
      <c r="B14" s="29"/>
    </row>
    <row r="16" spans="1:2" x14ac:dyDescent="0.3">
      <c r="B16" s="10"/>
    </row>
    <row r="18" spans="2:2" ht="18" x14ac:dyDescent="0.3">
      <c r="B18" s="29"/>
    </row>
    <row r="20" spans="2:2" x14ac:dyDescent="0.3">
      <c r="B20" s="10"/>
    </row>
    <row r="22" spans="2:2" ht="18" x14ac:dyDescent="0.3">
      <c r="B22" s="29"/>
    </row>
    <row r="24" spans="2:2" x14ac:dyDescent="0.3">
      <c r="B24"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 Sales</vt:lpstr>
      <vt:lpstr>Pivot tables</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salwa.j005@hotmail.com</cp:lastModifiedBy>
  <dcterms:created xsi:type="dcterms:W3CDTF">2026-06-15T07:13:35Z</dcterms:created>
  <dcterms:modified xsi:type="dcterms:W3CDTF">2026-07-21T18:55:19Z</dcterms:modified>
</cp:coreProperties>
</file>